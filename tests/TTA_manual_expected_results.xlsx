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bramer\HOME\PROJECTS\Hanford\CodeReview\TobitTrendAnalysis\Tobit2.0\tests\"/>
    </mc:Choice>
  </mc:AlternateContent>
  <xr:revisionPtr revIDLastSave="0" documentId="13_ncr:1_{BFD70909-21EB-4310-B904-D819FE74BC61}" xr6:coauthVersionLast="47" xr6:coauthVersionMax="47" xr10:uidLastSave="{00000000-0000-0000-0000-000000000000}"/>
  <bookViews>
    <workbookView xWindow="28680" yWindow="-120" windowWidth="29040" windowHeight="15720" activeTab="3" xr2:uid="{71A84E4C-F866-483E-B1D8-B8BE7DFA33A5}"/>
  </bookViews>
  <sheets>
    <sheet name="01_event_only" sheetId="1" r:id="rId1"/>
    <sheet name="02_event_plus_river_stage" sheetId="2" r:id="rId2"/>
    <sheet name="02_event_plus_river_stage (2)" sheetId="5" r:id="rId3"/>
    <sheet name="03_censored_tobit_check" sheetId="3" r:id="rId4"/>
    <sheet name="summary_expected_valu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55" i="5" l="1"/>
  <c r="B155" i="5"/>
  <c r="D148" i="5"/>
  <c r="B148" i="5"/>
  <c r="D141" i="5"/>
  <c r="B141" i="5"/>
  <c r="D135" i="5"/>
  <c r="B135" i="5"/>
  <c r="D127" i="5"/>
  <c r="B127" i="5"/>
  <c r="D120" i="5"/>
  <c r="B120" i="5"/>
  <c r="D117" i="5"/>
  <c r="B117" i="5"/>
  <c r="D115" i="5"/>
  <c r="B115" i="5"/>
  <c r="D111" i="5"/>
  <c r="B111" i="5"/>
  <c r="D108" i="5"/>
  <c r="B108" i="5"/>
  <c r="D104" i="5"/>
  <c r="B104" i="5"/>
  <c r="D101" i="5"/>
  <c r="B101" i="5"/>
  <c r="D97" i="5"/>
  <c r="B97" i="5"/>
  <c r="D94" i="5"/>
  <c r="B94" i="5"/>
  <c r="D90" i="5"/>
  <c r="B90" i="5"/>
  <c r="D79" i="5"/>
  <c r="B79" i="5"/>
  <c r="D75" i="5"/>
  <c r="B75" i="5"/>
  <c r="D68" i="5"/>
  <c r="B68" i="5"/>
  <c r="D59" i="5"/>
  <c r="B59" i="5"/>
  <c r="D55" i="5"/>
  <c r="B55" i="5"/>
  <c r="D23" i="5"/>
  <c r="B23" i="5"/>
  <c r="D19" i="5"/>
  <c r="B19" i="5"/>
  <c r="D17" i="5"/>
  <c r="B17" i="5"/>
  <c r="D15" i="5"/>
  <c r="B15" i="5"/>
  <c r="D157" i="5"/>
  <c r="B157" i="5"/>
  <c r="D156" i="5"/>
  <c r="B156" i="5"/>
  <c r="D154" i="5"/>
  <c r="B154" i="5"/>
  <c r="D153" i="5"/>
  <c r="B153" i="5"/>
  <c r="D152" i="5"/>
  <c r="B152" i="5"/>
  <c r="D151" i="5"/>
  <c r="B151" i="5"/>
  <c r="D150" i="5"/>
  <c r="B150" i="5"/>
  <c r="D149" i="5"/>
  <c r="B149" i="5"/>
  <c r="D147" i="5"/>
  <c r="B147" i="5"/>
  <c r="D146" i="5"/>
  <c r="B146" i="5"/>
  <c r="D145" i="5"/>
  <c r="B145" i="5"/>
  <c r="D144" i="5"/>
  <c r="B144" i="5"/>
  <c r="D143" i="5"/>
  <c r="B143" i="5"/>
  <c r="D142" i="5"/>
  <c r="B142" i="5"/>
  <c r="D140" i="5"/>
  <c r="B140" i="5"/>
  <c r="D139" i="5"/>
  <c r="B139" i="5"/>
  <c r="D138" i="5"/>
  <c r="B138" i="5"/>
  <c r="D137" i="5"/>
  <c r="B137" i="5"/>
  <c r="D136" i="5"/>
  <c r="B136" i="5"/>
  <c r="D134" i="5"/>
  <c r="B134" i="5"/>
  <c r="D133" i="5"/>
  <c r="B133" i="5"/>
  <c r="D132" i="5"/>
  <c r="B132" i="5"/>
  <c r="D131" i="5"/>
  <c r="B131" i="5"/>
  <c r="D130" i="5"/>
  <c r="B130" i="5"/>
  <c r="D129" i="5"/>
  <c r="B129" i="5"/>
  <c r="D128" i="5"/>
  <c r="B128" i="5"/>
  <c r="D126" i="5"/>
  <c r="B126" i="5"/>
  <c r="D125" i="5"/>
  <c r="B125" i="5"/>
  <c r="D124" i="5"/>
  <c r="B124" i="5"/>
  <c r="D123" i="5"/>
  <c r="B123" i="5"/>
  <c r="D122" i="5"/>
  <c r="B122" i="5"/>
  <c r="D121" i="5"/>
  <c r="B121" i="5"/>
  <c r="D119" i="5"/>
  <c r="B119" i="5"/>
  <c r="D118" i="5"/>
  <c r="B118" i="5"/>
  <c r="D116" i="5"/>
  <c r="B116" i="5"/>
  <c r="D114" i="5"/>
  <c r="B114" i="5"/>
  <c r="D113" i="5"/>
  <c r="B113" i="5"/>
  <c r="D112" i="5"/>
  <c r="B112" i="5"/>
  <c r="D110" i="5"/>
  <c r="B110" i="5"/>
  <c r="D109" i="5"/>
  <c r="B109" i="5"/>
  <c r="D107" i="5"/>
  <c r="B107" i="5"/>
  <c r="D106" i="5"/>
  <c r="B106" i="5"/>
  <c r="D105" i="5"/>
  <c r="B105" i="5"/>
  <c r="D103" i="5"/>
  <c r="B103" i="5"/>
  <c r="D102" i="5"/>
  <c r="B102" i="5"/>
  <c r="D100" i="5"/>
  <c r="B100" i="5"/>
  <c r="D99" i="5"/>
  <c r="B99" i="5"/>
  <c r="D98" i="5"/>
  <c r="K4" i="5" s="1" a="1"/>
  <c r="K4" i="5" s="1"/>
  <c r="B98" i="5"/>
  <c r="D96" i="5"/>
  <c r="B96" i="5"/>
  <c r="D95" i="5"/>
  <c r="B95" i="5"/>
  <c r="D93" i="5"/>
  <c r="B93" i="5"/>
  <c r="D92" i="5"/>
  <c r="B92" i="5"/>
  <c r="D91" i="5"/>
  <c r="B91" i="5"/>
  <c r="D89" i="5"/>
  <c r="B89" i="5"/>
  <c r="D88" i="5"/>
  <c r="B88" i="5"/>
  <c r="D87" i="5"/>
  <c r="B87" i="5"/>
  <c r="D86" i="5"/>
  <c r="B86" i="5"/>
  <c r="D85" i="5"/>
  <c r="B85" i="5"/>
  <c r="D84" i="5"/>
  <c r="B84" i="5"/>
  <c r="D83" i="5"/>
  <c r="B83" i="5"/>
  <c r="D82" i="5"/>
  <c r="B82" i="5"/>
  <c r="D81" i="5"/>
  <c r="B81" i="5"/>
  <c r="D80" i="5"/>
  <c r="B80" i="5"/>
  <c r="D78" i="5"/>
  <c r="B78" i="5"/>
  <c r="D77" i="5"/>
  <c r="B77" i="5"/>
  <c r="D76" i="5"/>
  <c r="B76" i="5"/>
  <c r="D74" i="5"/>
  <c r="B74" i="5"/>
  <c r="D73" i="5"/>
  <c r="B73" i="5"/>
  <c r="D72" i="5"/>
  <c r="B72" i="5"/>
  <c r="D71" i="5"/>
  <c r="B71" i="5"/>
  <c r="D70" i="5"/>
  <c r="B70" i="5"/>
  <c r="D69" i="5"/>
  <c r="B69" i="5"/>
  <c r="D67" i="5"/>
  <c r="B67" i="5"/>
  <c r="D66" i="5"/>
  <c r="B66" i="5"/>
  <c r="D65" i="5"/>
  <c r="B65" i="5"/>
  <c r="D64" i="5"/>
  <c r="B64" i="5"/>
  <c r="D63" i="5"/>
  <c r="B63" i="5"/>
  <c r="D62" i="5"/>
  <c r="B62" i="5"/>
  <c r="D61" i="5"/>
  <c r="B61" i="5"/>
  <c r="D60" i="5"/>
  <c r="B60" i="5"/>
  <c r="D58" i="5"/>
  <c r="B58" i="5"/>
  <c r="D57" i="5"/>
  <c r="B57" i="5"/>
  <c r="D56" i="5"/>
  <c r="B56" i="5"/>
  <c r="D54" i="5"/>
  <c r="B54" i="5"/>
  <c r="D53" i="5"/>
  <c r="B53" i="5"/>
  <c r="D52" i="5"/>
  <c r="B52" i="5"/>
  <c r="D51" i="5"/>
  <c r="B51" i="5"/>
  <c r="D50" i="5"/>
  <c r="B50" i="5"/>
  <c r="D49" i="5"/>
  <c r="B49" i="5"/>
  <c r="D48" i="5"/>
  <c r="B48" i="5"/>
  <c r="D47" i="5"/>
  <c r="B47" i="5"/>
  <c r="D46" i="5"/>
  <c r="B46" i="5"/>
  <c r="D45" i="5"/>
  <c r="B45" i="5"/>
  <c r="D44" i="5"/>
  <c r="B44" i="5"/>
  <c r="D43" i="5"/>
  <c r="B43" i="5"/>
  <c r="D42" i="5"/>
  <c r="B42" i="5"/>
  <c r="D41" i="5"/>
  <c r="B41" i="5"/>
  <c r="D40" i="5"/>
  <c r="B40" i="5"/>
  <c r="D39" i="5"/>
  <c r="B39" i="5"/>
  <c r="D38" i="5"/>
  <c r="B38" i="5"/>
  <c r="D37" i="5"/>
  <c r="B37" i="5"/>
  <c r="D36" i="5"/>
  <c r="B36" i="5"/>
  <c r="D35" i="5"/>
  <c r="B35" i="5"/>
  <c r="D34" i="5"/>
  <c r="B34" i="5"/>
  <c r="D33" i="5"/>
  <c r="B33" i="5"/>
  <c r="D32" i="5"/>
  <c r="B32" i="5"/>
  <c r="D31" i="5"/>
  <c r="B31" i="5"/>
  <c r="D30" i="5"/>
  <c r="B30" i="5"/>
  <c r="D29" i="5"/>
  <c r="B29" i="5"/>
  <c r="D28" i="5"/>
  <c r="B28" i="5"/>
  <c r="D27" i="5"/>
  <c r="B27" i="5"/>
  <c r="D26" i="5"/>
  <c r="B26" i="5"/>
  <c r="D25" i="5"/>
  <c r="B25" i="5"/>
  <c r="D24" i="5"/>
  <c r="B24" i="5"/>
  <c r="D22" i="5"/>
  <c r="B22" i="5"/>
  <c r="D21" i="5"/>
  <c r="B21" i="5"/>
  <c r="D20" i="5"/>
  <c r="B20" i="5"/>
  <c r="D18" i="5"/>
  <c r="B18" i="5"/>
  <c r="D16" i="5"/>
  <c r="B16" i="5"/>
  <c r="D14" i="5"/>
  <c r="B14" i="5"/>
  <c r="D13" i="5"/>
  <c r="B13" i="5"/>
  <c r="D12" i="5"/>
  <c r="B12" i="5"/>
  <c r="D11" i="5"/>
  <c r="B11" i="5"/>
  <c r="D10" i="5"/>
  <c r="B10" i="5"/>
  <c r="D9" i="5"/>
  <c r="B9" i="5"/>
  <c r="D8" i="5"/>
  <c r="B8" i="5"/>
  <c r="D7" i="5"/>
  <c r="B7" i="5"/>
  <c r="D6" i="5"/>
  <c r="B6" i="5"/>
  <c r="D5" i="5"/>
  <c r="B5" i="5"/>
  <c r="J4" i="5" a="1"/>
  <c r="J4" i="5" s="1"/>
  <c r="D4" i="5"/>
  <c r="K3" i="5" s="1" a="1"/>
  <c r="K3" i="5" s="1"/>
  <c r="B4" i="5"/>
  <c r="L3" i="5" a="1"/>
  <c r="L3" i="5" s="1"/>
  <c r="J3" i="5" a="1"/>
  <c r="J3" i="5" s="1"/>
  <c r="D3" i="5"/>
  <c r="B3" i="5"/>
  <c r="D145" i="2"/>
  <c r="B145" i="2"/>
  <c r="D82" i="2"/>
  <c r="B82" i="2"/>
  <c r="D171" i="2"/>
  <c r="B171" i="2"/>
  <c r="D160" i="2"/>
  <c r="B160" i="2"/>
  <c r="D157" i="2"/>
  <c r="B157" i="2"/>
  <c r="D153" i="2"/>
  <c r="B153" i="2"/>
  <c r="D150" i="2"/>
  <c r="B150" i="2"/>
  <c r="D146" i="2"/>
  <c r="B146" i="2"/>
  <c r="D138" i="2"/>
  <c r="B138" i="2"/>
  <c r="D135" i="2"/>
  <c r="B135" i="2"/>
  <c r="D130" i="2"/>
  <c r="B130" i="2"/>
  <c r="D128" i="2"/>
  <c r="B128" i="2"/>
  <c r="D120" i="2"/>
  <c r="B120" i="2"/>
  <c r="D101" i="2"/>
  <c r="B101" i="2"/>
  <c r="D86" i="2"/>
  <c r="B86" i="2"/>
  <c r="D85" i="2"/>
  <c r="B85" i="2"/>
  <c r="D11" i="2"/>
  <c r="B11" i="2"/>
  <c r="D180" i="2"/>
  <c r="B180" i="2"/>
  <c r="D168" i="2"/>
  <c r="B168" i="2"/>
  <c r="D155" i="2"/>
  <c r="B155" i="2"/>
  <c r="D142" i="2"/>
  <c r="B142" i="2"/>
  <c r="D139" i="2"/>
  <c r="B139" i="2"/>
  <c r="D136" i="2"/>
  <c r="B136" i="2"/>
  <c r="D132" i="2"/>
  <c r="B132" i="2"/>
  <c r="D127" i="2"/>
  <c r="B127" i="2"/>
  <c r="D125" i="2"/>
  <c r="B125" i="2"/>
  <c r="D121" i="2"/>
  <c r="B121" i="2"/>
  <c r="D119" i="2"/>
  <c r="B119" i="2"/>
  <c r="D114" i="2"/>
  <c r="B114" i="2"/>
  <c r="D97" i="2"/>
  <c r="B97" i="2"/>
  <c r="D83" i="2"/>
  <c r="B83" i="2"/>
  <c r="D10" i="2"/>
  <c r="B10" i="2"/>
  <c r="D183" i="2"/>
  <c r="B183" i="2"/>
  <c r="D182" i="2"/>
  <c r="B182" i="2"/>
  <c r="D181" i="2"/>
  <c r="B181" i="2"/>
  <c r="D179" i="2"/>
  <c r="B179" i="2"/>
  <c r="D178" i="2"/>
  <c r="B178" i="2"/>
  <c r="D177" i="2"/>
  <c r="B177" i="2"/>
  <c r="D176" i="2"/>
  <c r="B176" i="2"/>
  <c r="D175" i="2"/>
  <c r="B175" i="2"/>
  <c r="D174" i="2"/>
  <c r="B174" i="2"/>
  <c r="D173" i="2"/>
  <c r="B173" i="2"/>
  <c r="D172" i="2"/>
  <c r="B172" i="2"/>
  <c r="D170" i="2"/>
  <c r="B170" i="2"/>
  <c r="D169" i="2"/>
  <c r="B169" i="2"/>
  <c r="D167" i="2"/>
  <c r="B167" i="2"/>
  <c r="D166" i="2"/>
  <c r="B166" i="2"/>
  <c r="D165" i="2"/>
  <c r="B165" i="2"/>
  <c r="D164" i="2"/>
  <c r="B164" i="2"/>
  <c r="D163" i="2"/>
  <c r="B163" i="2"/>
  <c r="D162" i="2"/>
  <c r="B162" i="2"/>
  <c r="D161" i="2"/>
  <c r="B161" i="2"/>
  <c r="D159" i="2"/>
  <c r="B159" i="2"/>
  <c r="D158" i="2"/>
  <c r="B158" i="2"/>
  <c r="D156" i="2"/>
  <c r="B156" i="2"/>
  <c r="D154" i="2"/>
  <c r="B154" i="2"/>
  <c r="D152" i="2"/>
  <c r="B152" i="2"/>
  <c r="D151" i="2"/>
  <c r="B151" i="2"/>
  <c r="D149" i="2"/>
  <c r="B149" i="2"/>
  <c r="D148" i="2"/>
  <c r="B148" i="2"/>
  <c r="D147" i="2"/>
  <c r="B147" i="2"/>
  <c r="D144" i="2"/>
  <c r="B144" i="2"/>
  <c r="D143" i="2"/>
  <c r="B143" i="2"/>
  <c r="D141" i="2"/>
  <c r="B141" i="2"/>
  <c r="D140" i="2"/>
  <c r="B140" i="2"/>
  <c r="D137" i="2"/>
  <c r="B137" i="2"/>
  <c r="D134" i="2"/>
  <c r="B134" i="2"/>
  <c r="D133" i="2"/>
  <c r="B133" i="2"/>
  <c r="D131" i="2"/>
  <c r="B131" i="2"/>
  <c r="D129" i="2"/>
  <c r="B129" i="2"/>
  <c r="D126" i="2"/>
  <c r="B126" i="2"/>
  <c r="D124" i="2"/>
  <c r="B124" i="2"/>
  <c r="D123" i="2"/>
  <c r="B123" i="2"/>
  <c r="D122" i="2"/>
  <c r="B122" i="2"/>
  <c r="D118" i="2"/>
  <c r="B118" i="2"/>
  <c r="D117" i="2"/>
  <c r="B117" i="2"/>
  <c r="D116" i="2"/>
  <c r="B116" i="2"/>
  <c r="D115" i="2"/>
  <c r="B115" i="2"/>
  <c r="D113" i="2"/>
  <c r="B113" i="2"/>
  <c r="D112" i="2"/>
  <c r="B112" i="2"/>
  <c r="D111" i="2"/>
  <c r="B111" i="2"/>
  <c r="D110" i="2"/>
  <c r="B110" i="2"/>
  <c r="D109" i="2"/>
  <c r="B109" i="2"/>
  <c r="D108" i="2"/>
  <c r="B108" i="2"/>
  <c r="D107" i="2"/>
  <c r="B107" i="2"/>
  <c r="D106" i="2"/>
  <c r="B106" i="2"/>
  <c r="D105" i="2"/>
  <c r="B105" i="2"/>
  <c r="D104" i="2"/>
  <c r="B104" i="2"/>
  <c r="D103" i="2"/>
  <c r="B103" i="2"/>
  <c r="D102" i="2"/>
  <c r="B102" i="2"/>
  <c r="D100" i="2"/>
  <c r="B100" i="2"/>
  <c r="D99" i="2"/>
  <c r="B99" i="2"/>
  <c r="D98" i="2"/>
  <c r="B98" i="2"/>
  <c r="D96" i="2"/>
  <c r="B96" i="2"/>
  <c r="D95" i="2"/>
  <c r="B95" i="2"/>
  <c r="D94" i="2"/>
  <c r="B94" i="2"/>
  <c r="D93" i="2"/>
  <c r="B93" i="2"/>
  <c r="D92" i="2"/>
  <c r="B92" i="2"/>
  <c r="D91" i="2"/>
  <c r="B91" i="2"/>
  <c r="D90" i="2"/>
  <c r="B90" i="2"/>
  <c r="D89" i="2"/>
  <c r="B89" i="2"/>
  <c r="D88" i="2"/>
  <c r="B88" i="2"/>
  <c r="D87" i="2"/>
  <c r="B87" i="2"/>
  <c r="D84" i="2"/>
  <c r="B84" i="2"/>
  <c r="D81" i="2"/>
  <c r="B81" i="2"/>
  <c r="D80" i="2"/>
  <c r="B80" i="2"/>
  <c r="D79" i="2"/>
  <c r="B79" i="2"/>
  <c r="D78" i="2"/>
  <c r="B78" i="2"/>
  <c r="D77" i="2"/>
  <c r="B77" i="2"/>
  <c r="D76" i="2"/>
  <c r="B76" i="2"/>
  <c r="D75" i="2"/>
  <c r="B75" i="2"/>
  <c r="D74" i="2"/>
  <c r="B74" i="2"/>
  <c r="D73" i="2"/>
  <c r="B73" i="2"/>
  <c r="D72" i="2"/>
  <c r="B72" i="2"/>
  <c r="D71" i="2"/>
  <c r="K5" i="2" s="1" a="1"/>
  <c r="K5" i="2" s="1"/>
  <c r="B71" i="2"/>
  <c r="D70" i="2"/>
  <c r="J5" i="2" s="1" a="1"/>
  <c r="J5" i="2" s="1"/>
  <c r="B70" i="2"/>
  <c r="D69" i="2"/>
  <c r="B69" i="2"/>
  <c r="D68" i="2"/>
  <c r="B68" i="2"/>
  <c r="D67" i="2"/>
  <c r="B67" i="2"/>
  <c r="D66" i="2"/>
  <c r="B66" i="2"/>
  <c r="D65" i="2"/>
  <c r="B65" i="2"/>
  <c r="D64" i="2"/>
  <c r="B64" i="2"/>
  <c r="D63" i="2"/>
  <c r="B63" i="2"/>
  <c r="D62" i="2"/>
  <c r="B62" i="2"/>
  <c r="D61" i="2"/>
  <c r="B61" i="2"/>
  <c r="D60" i="2"/>
  <c r="B60" i="2"/>
  <c r="D59" i="2"/>
  <c r="B59" i="2"/>
  <c r="D58" i="2"/>
  <c r="B58" i="2"/>
  <c r="D57" i="2"/>
  <c r="B57" i="2"/>
  <c r="D56" i="2"/>
  <c r="B56" i="2"/>
  <c r="D55" i="2"/>
  <c r="B55" i="2"/>
  <c r="D54" i="2"/>
  <c r="B54" i="2"/>
  <c r="D53" i="2"/>
  <c r="B53" i="2"/>
  <c r="D52" i="2"/>
  <c r="B52" i="2"/>
  <c r="D51" i="2"/>
  <c r="B51" i="2"/>
  <c r="D50" i="2"/>
  <c r="B50" i="2"/>
  <c r="D49" i="2"/>
  <c r="B49" i="2"/>
  <c r="D48" i="2"/>
  <c r="B48" i="2"/>
  <c r="D47" i="2"/>
  <c r="B47" i="2"/>
  <c r="D46" i="2"/>
  <c r="B46" i="2"/>
  <c r="D45" i="2"/>
  <c r="B45" i="2"/>
  <c r="D44" i="2"/>
  <c r="B44" i="2"/>
  <c r="D43" i="2"/>
  <c r="B43" i="2"/>
  <c r="D42" i="2"/>
  <c r="B42" i="2"/>
  <c r="D41" i="2"/>
  <c r="B41" i="2"/>
  <c r="D40" i="2"/>
  <c r="B40" i="2"/>
  <c r="D39" i="2"/>
  <c r="B39" i="2"/>
  <c r="D38" i="2"/>
  <c r="B38" i="2"/>
  <c r="D37" i="2"/>
  <c r="B37" i="2"/>
  <c r="D36" i="2"/>
  <c r="B36" i="2"/>
  <c r="D35" i="2"/>
  <c r="B35" i="2"/>
  <c r="D34" i="2"/>
  <c r="B34" i="2"/>
  <c r="D33" i="2"/>
  <c r="B33" i="2"/>
  <c r="D32" i="2"/>
  <c r="B32" i="2"/>
  <c r="D31" i="2"/>
  <c r="B31" i="2"/>
  <c r="D30" i="2"/>
  <c r="B30" i="2"/>
  <c r="D29" i="2"/>
  <c r="B29" i="2"/>
  <c r="D28" i="2"/>
  <c r="B28" i="2"/>
  <c r="D27" i="2"/>
  <c r="B27" i="2"/>
  <c r="D26" i="2"/>
  <c r="B26" i="2"/>
  <c r="D25" i="2"/>
  <c r="B25" i="2"/>
  <c r="D24" i="2"/>
  <c r="B24" i="2"/>
  <c r="D23" i="2"/>
  <c r="B23" i="2"/>
  <c r="D22" i="2"/>
  <c r="B22" i="2"/>
  <c r="D21" i="2"/>
  <c r="B21" i="2"/>
  <c r="D20" i="2"/>
  <c r="B20" i="2"/>
  <c r="D19" i="2"/>
  <c r="B19" i="2"/>
  <c r="D18" i="2"/>
  <c r="B18" i="2"/>
  <c r="D17" i="2"/>
  <c r="B17" i="2"/>
  <c r="D16" i="2"/>
  <c r="B16" i="2"/>
  <c r="D15" i="2"/>
  <c r="B15" i="2"/>
  <c r="K4" i="2" s="1" a="1"/>
  <c r="K4" i="2" s="1"/>
  <c r="D14" i="2"/>
  <c r="B14" i="2"/>
  <c r="D13" i="2"/>
  <c r="B13" i="2"/>
  <c r="D12" i="2"/>
  <c r="B12" i="2"/>
  <c r="D9" i="2"/>
  <c r="B9" i="2"/>
  <c r="D8" i="2"/>
  <c r="B8" i="2"/>
  <c r="D7" i="2"/>
  <c r="B7" i="2"/>
  <c r="D6" i="2"/>
  <c r="B6" i="2"/>
  <c r="D5" i="2"/>
  <c r="B5" i="2"/>
  <c r="D4" i="2"/>
  <c r="B4" i="2"/>
  <c r="D3" i="2"/>
  <c r="L3" i="2" s="1" a="1"/>
  <c r="L3" i="2" s="1"/>
  <c r="B3" i="2"/>
  <c r="K3" i="2" s="1" a="1"/>
  <c r="K3" i="2" s="1"/>
  <c r="D57" i="1"/>
  <c r="J4" i="1" s="1" a="1"/>
  <c r="J4" i="1" s="1"/>
  <c r="B57" i="1"/>
  <c r="D56" i="1"/>
  <c r="B56" i="1"/>
  <c r="D55" i="1"/>
  <c r="B55" i="1"/>
  <c r="D54" i="1"/>
  <c r="B54" i="1"/>
  <c r="D53" i="1"/>
  <c r="B53" i="1"/>
  <c r="D52" i="1"/>
  <c r="B52" i="1"/>
  <c r="D51" i="1"/>
  <c r="B51" i="1"/>
  <c r="D50" i="1"/>
  <c r="B50" i="1"/>
  <c r="D49" i="1"/>
  <c r="B49" i="1"/>
  <c r="D48" i="1"/>
  <c r="B48" i="1"/>
  <c r="D47" i="1"/>
  <c r="B47" i="1"/>
  <c r="D46" i="1"/>
  <c r="B46" i="1"/>
  <c r="D45" i="1"/>
  <c r="B45" i="1"/>
  <c r="D44" i="1"/>
  <c r="B44" i="1"/>
  <c r="D43" i="1"/>
  <c r="B43" i="1"/>
  <c r="D42" i="1"/>
  <c r="B42" i="1"/>
  <c r="D41" i="1"/>
  <c r="B41" i="1"/>
  <c r="D40" i="1"/>
  <c r="B40" i="1"/>
  <c r="D39" i="1"/>
  <c r="B39" i="1"/>
  <c r="D38" i="1"/>
  <c r="B38" i="1"/>
  <c r="D37" i="1"/>
  <c r="B37" i="1"/>
  <c r="D36" i="1"/>
  <c r="B36" i="1"/>
  <c r="D35" i="1"/>
  <c r="B35" i="1"/>
  <c r="D34" i="1"/>
  <c r="B34" i="1"/>
  <c r="D33" i="1"/>
  <c r="B33" i="1"/>
  <c r="D32" i="1"/>
  <c r="B32" i="1"/>
  <c r="D31" i="1"/>
  <c r="B31" i="1"/>
  <c r="D30" i="1"/>
  <c r="B30" i="1"/>
  <c r="D29" i="1"/>
  <c r="B29" i="1"/>
  <c r="D28" i="1"/>
  <c r="B28" i="1"/>
  <c r="D27" i="1"/>
  <c r="B27" i="1"/>
  <c r="D26" i="1"/>
  <c r="B26" i="1"/>
  <c r="D25" i="1"/>
  <c r="B25" i="1"/>
  <c r="D24" i="1"/>
  <c r="B24" i="1"/>
  <c r="D23" i="1"/>
  <c r="B23" i="1"/>
  <c r="D22" i="1"/>
  <c r="B22" i="1"/>
  <c r="D21" i="1"/>
  <c r="B21" i="1"/>
  <c r="D20" i="1"/>
  <c r="B20" i="1"/>
  <c r="D19" i="1"/>
  <c r="B19" i="1"/>
  <c r="D18" i="1"/>
  <c r="B18" i="1"/>
  <c r="D17" i="1"/>
  <c r="B17" i="1"/>
  <c r="D16" i="1"/>
  <c r="B16" i="1"/>
  <c r="D15" i="1"/>
  <c r="B15" i="1"/>
  <c r="D14" i="1"/>
  <c r="B14" i="1"/>
  <c r="D13" i="1"/>
  <c r="B13" i="1"/>
  <c r="D12" i="1"/>
  <c r="B12" i="1"/>
  <c r="D11" i="1"/>
  <c r="B11" i="1"/>
  <c r="D10" i="1"/>
  <c r="B10" i="1"/>
  <c r="D9" i="1"/>
  <c r="B9" i="1"/>
  <c r="D8" i="1"/>
  <c r="B8" i="1"/>
  <c r="D7" i="1"/>
  <c r="B7" i="1"/>
  <c r="D6" i="1"/>
  <c r="B6" i="1"/>
  <c r="D5" i="1"/>
  <c r="B5" i="1"/>
  <c r="D4" i="1"/>
  <c r="B4" i="1"/>
  <c r="J3" i="1" a="1"/>
  <c r="J3" i="1" s="1"/>
  <c r="D3" i="1"/>
  <c r="I3" i="1" s="1" a="1"/>
  <c r="I3" i="1" s="1"/>
  <c r="B3" i="1"/>
  <c r="L4" i="5" l="1" a="1"/>
  <c r="L4" i="5" s="1"/>
  <c r="J4" i="2" a="1"/>
  <c r="J4" i="2" s="1"/>
  <c r="J3" i="2" a="1"/>
  <c r="J3" i="2" s="1"/>
  <c r="L5" i="2" a="1"/>
  <c r="L5" i="2" s="1"/>
  <c r="L4" i="2" a="1"/>
  <c r="L4" i="2" s="1"/>
  <c r="I4" i="1" a="1"/>
  <c r="I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Bramer</author>
  </authors>
  <commentList>
    <comment ref="I2" authorId="0" shapeId="0" xr:uid="{D8503279-8F73-49C0-B873-363DDF34C9CB}">
      <text>
        <r>
          <rPr>
            <b/>
            <sz val="9"/>
            <color indexed="81"/>
            <rFont val="Tahoma"/>
            <charset val="1"/>
          </rPr>
          <t>Stefan Bramer:</t>
        </r>
        <r>
          <rPr>
            <sz val="9"/>
            <color indexed="81"/>
            <rFont val="Tahoma"/>
            <charset val="1"/>
          </rPr>
          <t xml:space="preserve">
compare with </t>
        </r>
        <r>
          <rPr>
            <b/>
            <sz val="9"/>
            <color indexed="81"/>
            <rFont val="Tahoma"/>
            <family val="2"/>
          </rPr>
          <t>beta_event</t>
        </r>
        <r>
          <rPr>
            <sz val="9"/>
            <color indexed="81"/>
            <rFont val="Tahoma"/>
            <family val="2"/>
          </rPr>
          <t xml:space="preserve"> parameter from TTA tool results</t>
        </r>
      </text>
    </comment>
    <comment ref="J2" authorId="0" shapeId="0" xr:uid="{956DF8B7-E829-4551-9025-7B8930BC5F9D}">
      <text>
        <r>
          <rPr>
            <b/>
            <sz val="9"/>
            <color indexed="81"/>
            <rFont val="Tahoma"/>
            <family val="2"/>
          </rPr>
          <t>Stefan Bramer:</t>
        </r>
        <r>
          <rPr>
            <sz val="9"/>
            <color indexed="81"/>
            <rFont val="Tahoma"/>
            <family val="2"/>
          </rPr>
          <t xml:space="preserve">
compare with </t>
        </r>
        <r>
          <rPr>
            <b/>
            <sz val="9"/>
            <color indexed="81"/>
            <rFont val="Tahoma"/>
            <family val="2"/>
          </rPr>
          <t>beta_intercept</t>
        </r>
        <r>
          <rPr>
            <sz val="9"/>
            <color indexed="81"/>
            <rFont val="Tahoma"/>
            <family val="2"/>
          </rPr>
          <t xml:space="preserve"> parameter from TTA tool results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Bramer</author>
  </authors>
  <commentList>
    <comment ref="E2" authorId="0" shapeId="0" xr:uid="{E0B8C479-4D39-48CA-B305-F0DA4ED01A7B}">
      <text>
        <r>
          <rPr>
            <b/>
            <sz val="9"/>
            <color indexed="81"/>
            <rFont val="Tahoma"/>
            <charset val="1"/>
          </rPr>
          <t>Stefan Bramer:</t>
        </r>
        <r>
          <rPr>
            <sz val="9"/>
            <color indexed="81"/>
            <rFont val="Tahoma"/>
            <charset val="1"/>
          </rPr>
          <t xml:space="preserve">
River Stage</t>
        </r>
      </text>
    </comment>
    <comment ref="J2" authorId="0" shapeId="0" xr:uid="{68D8636D-3354-44DC-9A03-8E111FF687C7}">
      <text>
        <r>
          <rPr>
            <b/>
            <sz val="9"/>
            <color indexed="81"/>
            <rFont val="Tahoma"/>
            <charset val="1"/>
          </rPr>
          <t>Stefan Bramer:</t>
        </r>
        <r>
          <rPr>
            <sz val="9"/>
            <color indexed="81"/>
            <rFont val="Tahoma"/>
            <charset val="1"/>
          </rPr>
          <t xml:space="preserve">
compare with </t>
        </r>
        <r>
          <rPr>
            <b/>
            <sz val="9"/>
            <color indexed="81"/>
            <rFont val="Tahoma"/>
            <family val="2"/>
          </rPr>
          <t>beta_event</t>
        </r>
        <r>
          <rPr>
            <sz val="9"/>
            <color indexed="81"/>
            <rFont val="Tahoma"/>
            <family val="2"/>
          </rPr>
          <t xml:space="preserve"> parameter from TTA tool results</t>
        </r>
      </text>
    </comment>
    <comment ref="K2" authorId="0" shapeId="0" xr:uid="{D0F66C5E-3986-4625-B0D1-49B21E015EC9}">
      <text>
        <r>
          <rPr>
            <b/>
            <sz val="9"/>
            <color indexed="81"/>
            <rFont val="Tahoma"/>
            <family val="2"/>
          </rPr>
          <t>Stefan Bramer:</t>
        </r>
        <r>
          <rPr>
            <sz val="9"/>
            <color indexed="81"/>
            <rFont val="Tahoma"/>
            <family val="2"/>
          </rPr>
          <t xml:space="preserve">
compare with </t>
        </r>
        <r>
          <rPr>
            <b/>
            <sz val="9"/>
            <color indexed="81"/>
            <rFont val="Tahoma"/>
            <family val="2"/>
          </rPr>
          <t>beta_interp</t>
        </r>
        <r>
          <rPr>
            <sz val="9"/>
            <color indexed="81"/>
            <rFont val="Tahoma"/>
            <family val="2"/>
          </rPr>
          <t xml:space="preserve"> parameter from TTA tool results</t>
        </r>
      </text>
    </comment>
    <comment ref="L2" authorId="0" shapeId="0" xr:uid="{59F2DBEB-4097-4DF8-B8FE-9FD4AFFE6FFA}">
      <text>
        <r>
          <rPr>
            <b/>
            <sz val="9"/>
            <color indexed="81"/>
            <rFont val="Tahoma"/>
            <family val="2"/>
          </rPr>
          <t>Stefan Bramer:</t>
        </r>
        <r>
          <rPr>
            <sz val="9"/>
            <color indexed="81"/>
            <rFont val="Tahoma"/>
            <family val="2"/>
          </rPr>
          <t xml:space="preserve">
compare with </t>
        </r>
        <r>
          <rPr>
            <b/>
            <sz val="9"/>
            <color indexed="81"/>
            <rFont val="Tahoma"/>
            <family val="2"/>
          </rPr>
          <t>beta_intercept</t>
        </r>
        <r>
          <rPr>
            <sz val="9"/>
            <color indexed="81"/>
            <rFont val="Tahoma"/>
            <family val="2"/>
          </rPr>
          <t xml:space="preserve"> parameter from TTA tool results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Stefan Bramer</author>
  </authors>
  <commentList>
    <comment ref="E2" authorId="0" shapeId="0" xr:uid="{3B656ACA-FA03-47DC-9596-760C4AC3BF64}">
      <text>
        <r>
          <rPr>
            <b/>
            <sz val="9"/>
            <color indexed="81"/>
            <rFont val="Tahoma"/>
            <charset val="1"/>
          </rPr>
          <t>Stefan Bramer:</t>
        </r>
        <r>
          <rPr>
            <sz val="9"/>
            <color indexed="81"/>
            <rFont val="Tahoma"/>
            <charset val="1"/>
          </rPr>
          <t xml:space="preserve">
River Stage</t>
        </r>
      </text>
    </comment>
    <comment ref="J2" authorId="0" shapeId="0" xr:uid="{4F2A073B-C60C-4DC7-BB6E-35F35DD535A8}">
      <text>
        <r>
          <rPr>
            <b/>
            <sz val="9"/>
            <color indexed="81"/>
            <rFont val="Tahoma"/>
            <charset val="1"/>
          </rPr>
          <t>Stefan Bramer:</t>
        </r>
        <r>
          <rPr>
            <sz val="9"/>
            <color indexed="81"/>
            <rFont val="Tahoma"/>
            <charset val="1"/>
          </rPr>
          <t xml:space="preserve">
compare with </t>
        </r>
        <r>
          <rPr>
            <b/>
            <sz val="9"/>
            <color indexed="81"/>
            <rFont val="Tahoma"/>
            <family val="2"/>
          </rPr>
          <t>beta_event</t>
        </r>
        <r>
          <rPr>
            <sz val="9"/>
            <color indexed="81"/>
            <rFont val="Tahoma"/>
            <family val="2"/>
          </rPr>
          <t xml:space="preserve"> parameter from TTA tool results</t>
        </r>
      </text>
    </comment>
    <comment ref="K2" authorId="0" shapeId="0" xr:uid="{49367C20-32B3-4A8D-AE01-836D95F141E9}">
      <text>
        <r>
          <rPr>
            <b/>
            <sz val="9"/>
            <color indexed="81"/>
            <rFont val="Tahoma"/>
            <family val="2"/>
          </rPr>
          <t>Stefan Bramer:</t>
        </r>
        <r>
          <rPr>
            <sz val="9"/>
            <color indexed="81"/>
            <rFont val="Tahoma"/>
            <family val="2"/>
          </rPr>
          <t xml:space="preserve">
compare with </t>
        </r>
        <r>
          <rPr>
            <b/>
            <sz val="9"/>
            <color indexed="81"/>
            <rFont val="Tahoma"/>
            <family val="2"/>
          </rPr>
          <t>beta_interp</t>
        </r>
        <r>
          <rPr>
            <sz val="9"/>
            <color indexed="81"/>
            <rFont val="Tahoma"/>
            <family val="2"/>
          </rPr>
          <t xml:space="preserve"> parameter from TTA tool results</t>
        </r>
      </text>
    </comment>
    <comment ref="L2" authorId="0" shapeId="0" xr:uid="{2EA72FE5-D393-4BD5-AEA4-BD7404AD4573}">
      <text>
        <r>
          <rPr>
            <b/>
            <sz val="9"/>
            <color indexed="81"/>
            <rFont val="Tahoma"/>
            <family val="2"/>
          </rPr>
          <t>Stefan Bramer:</t>
        </r>
        <r>
          <rPr>
            <sz val="9"/>
            <color indexed="81"/>
            <rFont val="Tahoma"/>
            <family val="2"/>
          </rPr>
          <t xml:space="preserve">
compare with </t>
        </r>
        <r>
          <rPr>
            <b/>
            <sz val="9"/>
            <color indexed="81"/>
            <rFont val="Tahoma"/>
            <family val="2"/>
          </rPr>
          <t>beta_intercept</t>
        </r>
        <r>
          <rPr>
            <sz val="9"/>
            <color indexed="81"/>
            <rFont val="Tahoma"/>
            <family val="2"/>
          </rPr>
          <t xml:space="preserve"> parameter from TTA tool results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<sst xmlns="http://schemas.openxmlformats.org/spreadsheetml/2006/main" count="33" uniqueCount="12">
  <si>
    <t>EVENT</t>
  </si>
  <si>
    <t>EVENT_NUM</t>
  </si>
  <si>
    <t>VAL</t>
  </si>
  <si>
    <t>LN_VAL</t>
  </si>
  <si>
    <t>TERM</t>
  </si>
  <si>
    <t>SLOPE</t>
  </si>
  <si>
    <t>INTERCEPT</t>
  </si>
  <si>
    <t>Manual expected results for Borehole 199-D4-84 - INTERP + EVENT</t>
  </si>
  <si>
    <t>Manual expected results for Borehole 199-D5-123 - EVENT only</t>
  </si>
  <si>
    <t>INTERP</t>
  </si>
  <si>
    <t>do not compare (contain censored data)</t>
  </si>
  <si>
    <t>Tobit check not possible in Excel, external tool needed?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</si>
</sst>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8" x14ac:knownFonts="1">
    <font>
      <sz val="11"/>
      <color theme="1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color theme="0"/>
      <name val="Calibri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14" fontId="0" fillId="0" borderId="0" xfId="0" applyNumberFormat="1"/>
    <xf numFmtId="14" fontId="5" fillId="4" borderId="0" xfId="0" applyNumberFormat="1" applyFont="1" applyFill="1"/>
    <xf numFmtId="0" fontId="6" fillId="4" borderId="0" xfId="0" applyFont="1" applyFill="1"/>
    <xf numFmtId="14" fontId="7" fillId="3" borderId="0" xfId="0" applyNumberFormat="1" applyFont="1" applyFill="1"/>
    <xf numFmtId="0" fontId="7" fillId="3" borderId="0" xfId="0" applyFont="1" applyFill="1"/>
    <xf numFmtId="0" fontId="6" fillId="0" borderId="0" xfId="0" applyFont="1"/>
    <xf numFmtId="0" fontId="7" fillId="2" borderId="0" xfId="0" applyFont="1" applyFill="1"/>
    <xf numFmtId="14" fontId="6" fillId="0" borderId="0" xfId="0" applyNumberFormat="1" applyFont="1"/>
    <xf numFmtId="0" fontId="6" fillId="0" borderId="0" xfId="0" applyFont="1" applyAlignment="1">
      <alignment vertical="center" wrapText="1"/>
    </xf>
    <xf numFmtId="164" fontId="6" fillId="0" borderId="0" xfId="0" applyNumberFormat="1" applyFont="1" applyAlignment="1">
      <alignment vertical="center" wrapText="1"/>
    </xf>
    <xf numFmtId="164" fontId="6" fillId="0" borderId="0" xfId="0" applyNumberFormat="1" applyFont="1"/>
    <xf numFmtId="0" fontId="6" fillId="5" borderId="0" xfId="0" applyFont="1" applyFill="1" applyAlignment="1">
      <alignment vertical="center" wrapText="1"/>
    </xf>
    <xf numFmtId="164" fontId="6" fillId="5" borderId="0" xfId="0" applyNumberFormat="1" applyFont="1" applyFill="1" applyAlignment="1">
      <alignment vertical="center" wrapText="1"/>
    </xf>
    <xf numFmtId="164" fontId="6" fillId="5" borderId="0" xfId="0" applyNumberFormat="1" applyFont="1" applyFill="1"/>
    <xf numFmtId="0" fontId="6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5BC072-179B-442E-B2B5-C659274754BE}">
  <dimension ref="A1:J57"/>
  <sheetViews>
    <sheetView workbookViewId="0">
      <selection activeCell="I8" sqref="I8"/>
    </sheetView>
  </sheetViews>
  <sheetFormatPr defaultRowHeight="15" x14ac:dyDescent="0.25"/>
  <cols>
    <col min="1" max="1" width="11.140625" style="8" customWidth="1"/>
    <col min="2" max="5" width="11.140625" style="6" customWidth="1"/>
    <col min="6" max="8" width="9.140625" style="6"/>
    <col min="9" max="9" width="12.42578125" style="6" bestFit="1" customWidth="1"/>
    <col min="10" max="10" width="12.5703125" style="6" bestFit="1" customWidth="1"/>
    <col min="11" max="16384" width="9.140625" style="6"/>
  </cols>
  <sheetData>
    <row r="1" spans="1:10" s="3" customFormat="1" ht="15.75" x14ac:dyDescent="0.25">
      <c r="A1" s="2" t="s">
        <v>8</v>
      </c>
    </row>
    <row r="2" spans="1:10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4</v>
      </c>
      <c r="H2" s="7" t="s">
        <v>4</v>
      </c>
      <c r="I2" s="7" t="s">
        <v>5</v>
      </c>
      <c r="J2" s="7" t="s">
        <v>6</v>
      </c>
    </row>
    <row r="3" spans="1:10" x14ac:dyDescent="0.25">
      <c r="A3" s="8">
        <v>39833</v>
      </c>
      <c r="B3" s="6">
        <f t="shared" ref="B3:B34" si="0">A3-DATE(1970,1,1)</f>
        <v>14264</v>
      </c>
      <c r="C3" s="6">
        <v>340</v>
      </c>
      <c r="D3" s="6">
        <f t="shared" ref="D3:D34" si="1">LN(C3)</f>
        <v>5.8289456176102075</v>
      </c>
      <c r="E3" s="6">
        <v>1</v>
      </c>
      <c r="H3" s="9">
        <v>1</v>
      </c>
      <c r="I3" s="10" cm="1">
        <f t="array" ref="I3">SLOPE(_xlfn._xlws.FILTER($D$3:$D$1001,$E$3:$E$1001=$H$3),_xlfn._xlws.FILTER($B$3:$B$1001,$E$3:$E$1001=$H$3))</f>
        <v>-2.890704075175625E-4</v>
      </c>
      <c r="J3" s="11" cm="1">
        <f t="array" ref="J3">INTERCEPT(_xlfn._xlws.FILTER($D$3:$D$1001,$E$3:$E$1001=$H$3),_xlfn._xlws.FILTER($B$3:$B$1001,$E$3:$E$1001=$H$3))</f>
        <v>10.115804477424177</v>
      </c>
    </row>
    <row r="4" spans="1:10" x14ac:dyDescent="0.25">
      <c r="A4" s="8">
        <v>39856</v>
      </c>
      <c r="B4" s="6">
        <f t="shared" si="0"/>
        <v>14287</v>
      </c>
      <c r="C4" s="6">
        <v>360</v>
      </c>
      <c r="D4" s="6">
        <f t="shared" si="1"/>
        <v>5.8861040314501558</v>
      </c>
      <c r="E4" s="6">
        <v>1</v>
      </c>
      <c r="H4" s="9">
        <v>2</v>
      </c>
      <c r="I4" s="10" cm="1">
        <f t="array" ref="I4">SLOPE(_xlfn._xlws.FILTER($D$3:$D$1001,$E$3:$E$1001=$H$4),_xlfn._xlws.FILTER($B$3:$B$1001,$E$3:$E$1001=$H$4))</f>
        <v>-8.7942951192147704E-4</v>
      </c>
      <c r="J4" s="11" cm="1">
        <f t="array" ref="J4">INTERCEPT(_xlfn._xlws.FILTER($D$3:$D$1001,$E$3:$E$1001=$H$4),_xlfn._xlws.FILTER($B$3:$B$1001,$E$3:$E$1001=$H$4))</f>
        <v>17.980625626721725</v>
      </c>
    </row>
    <row r="5" spans="1:10" x14ac:dyDescent="0.25">
      <c r="A5" s="8">
        <v>39895</v>
      </c>
      <c r="B5" s="6">
        <f t="shared" si="0"/>
        <v>14326</v>
      </c>
      <c r="C5" s="6">
        <v>352</v>
      </c>
      <c r="D5" s="6">
        <f t="shared" si="1"/>
        <v>5.8636311755980968</v>
      </c>
      <c r="E5" s="6">
        <v>1</v>
      </c>
    </row>
    <row r="6" spans="1:10" x14ac:dyDescent="0.25">
      <c r="A6" s="8">
        <v>39916</v>
      </c>
      <c r="B6" s="6">
        <f t="shared" si="0"/>
        <v>14347</v>
      </c>
      <c r="C6" s="6">
        <v>376.5</v>
      </c>
      <c r="D6" s="6">
        <f t="shared" si="1"/>
        <v>5.9309180472399481</v>
      </c>
      <c r="E6" s="6">
        <v>1</v>
      </c>
      <c r="H6" s="9"/>
    </row>
    <row r="7" spans="1:10" x14ac:dyDescent="0.25">
      <c r="A7" s="8">
        <v>39979</v>
      </c>
      <c r="B7" s="6">
        <f t="shared" si="0"/>
        <v>14410</v>
      </c>
      <c r="C7" s="6">
        <v>277.5</v>
      </c>
      <c r="D7" s="6">
        <f t="shared" si="1"/>
        <v>5.625820933186489</v>
      </c>
      <c r="E7" s="6">
        <v>1</v>
      </c>
    </row>
    <row r="8" spans="1:10" x14ac:dyDescent="0.25">
      <c r="A8" s="8">
        <v>40162</v>
      </c>
      <c r="B8" s="6">
        <f t="shared" si="0"/>
        <v>14593</v>
      </c>
      <c r="C8" s="6">
        <v>517.5</v>
      </c>
      <c r="D8" s="6">
        <f t="shared" si="1"/>
        <v>6.2490095251395239</v>
      </c>
      <c r="E8" s="6">
        <v>1</v>
      </c>
    </row>
    <row r="9" spans="1:10" x14ac:dyDescent="0.25">
      <c r="A9" s="8">
        <v>40248</v>
      </c>
      <c r="B9" s="6">
        <f t="shared" si="0"/>
        <v>14679</v>
      </c>
      <c r="C9" s="6">
        <v>415</v>
      </c>
      <c r="D9" s="6">
        <f t="shared" si="1"/>
        <v>6.0282785202306979</v>
      </c>
      <c r="E9" s="6">
        <v>1</v>
      </c>
    </row>
    <row r="10" spans="1:10" x14ac:dyDescent="0.25">
      <c r="A10" s="8">
        <v>40274</v>
      </c>
      <c r="B10" s="6">
        <f t="shared" si="0"/>
        <v>14705</v>
      </c>
      <c r="C10" s="6">
        <v>383.5</v>
      </c>
      <c r="D10" s="6">
        <f t="shared" si="1"/>
        <v>5.9493396208073106</v>
      </c>
      <c r="E10" s="6">
        <v>1</v>
      </c>
    </row>
    <row r="11" spans="1:10" x14ac:dyDescent="0.25">
      <c r="A11" s="8">
        <v>40380</v>
      </c>
      <c r="B11" s="6">
        <f t="shared" si="0"/>
        <v>14811</v>
      </c>
      <c r="C11" s="6">
        <v>259.5</v>
      </c>
      <c r="D11" s="6">
        <f t="shared" si="1"/>
        <v>5.558756702605943</v>
      </c>
      <c r="E11" s="6">
        <v>1</v>
      </c>
    </row>
    <row r="12" spans="1:10" x14ac:dyDescent="0.25">
      <c r="A12" s="8">
        <v>40429</v>
      </c>
      <c r="B12" s="6">
        <f t="shared" si="0"/>
        <v>14860</v>
      </c>
      <c r="C12" s="6">
        <v>303</v>
      </c>
      <c r="D12" s="6">
        <f t="shared" si="1"/>
        <v>5.7137328055093688</v>
      </c>
      <c r="E12" s="6">
        <v>1</v>
      </c>
    </row>
    <row r="13" spans="1:10" x14ac:dyDescent="0.25">
      <c r="A13" s="8">
        <v>40573</v>
      </c>
      <c r="B13" s="6">
        <f t="shared" si="0"/>
        <v>15004</v>
      </c>
      <c r="C13" s="6">
        <v>278</v>
      </c>
      <c r="D13" s="6">
        <f t="shared" si="1"/>
        <v>5.6276211136906369</v>
      </c>
      <c r="E13" s="6">
        <v>2</v>
      </c>
    </row>
    <row r="14" spans="1:10" x14ac:dyDescent="0.25">
      <c r="A14" s="8">
        <v>40665</v>
      </c>
      <c r="B14" s="6">
        <f t="shared" si="0"/>
        <v>15096</v>
      </c>
      <c r="C14" s="6">
        <v>206.5</v>
      </c>
      <c r="D14" s="6">
        <f t="shared" si="1"/>
        <v>5.3303004124010878</v>
      </c>
      <c r="E14" s="6">
        <v>2</v>
      </c>
    </row>
    <row r="15" spans="1:10" x14ac:dyDescent="0.25">
      <c r="A15" s="8">
        <v>40779</v>
      </c>
      <c r="B15" s="6">
        <f t="shared" si="0"/>
        <v>15210</v>
      </c>
      <c r="C15" s="6">
        <v>203</v>
      </c>
      <c r="D15" s="6">
        <f t="shared" si="1"/>
        <v>5.3132059790417872</v>
      </c>
      <c r="E15" s="6">
        <v>2</v>
      </c>
    </row>
    <row r="16" spans="1:10" x14ac:dyDescent="0.25">
      <c r="A16" s="8">
        <v>40829</v>
      </c>
      <c r="B16" s="6">
        <f t="shared" si="0"/>
        <v>15260</v>
      </c>
      <c r="C16" s="6">
        <v>170</v>
      </c>
      <c r="D16" s="6">
        <f t="shared" si="1"/>
        <v>5.1357984370502621</v>
      </c>
      <c r="E16" s="6">
        <v>2</v>
      </c>
    </row>
    <row r="17" spans="1:5" x14ac:dyDescent="0.25">
      <c r="A17" s="8">
        <v>40946</v>
      </c>
      <c r="B17" s="6">
        <f t="shared" si="0"/>
        <v>15377</v>
      </c>
      <c r="C17" s="6">
        <v>79.2</v>
      </c>
      <c r="D17" s="6">
        <f t="shared" si="1"/>
        <v>4.3719762988203801</v>
      </c>
      <c r="E17" s="6">
        <v>2</v>
      </c>
    </row>
    <row r="18" spans="1:5" x14ac:dyDescent="0.25">
      <c r="A18" s="8">
        <v>41058</v>
      </c>
      <c r="B18" s="6">
        <f t="shared" si="0"/>
        <v>15489</v>
      </c>
      <c r="C18" s="6">
        <v>83.3</v>
      </c>
      <c r="D18" s="6">
        <f t="shared" si="1"/>
        <v>4.4224485491727972</v>
      </c>
      <c r="E18" s="6">
        <v>2</v>
      </c>
    </row>
    <row r="19" spans="1:5" x14ac:dyDescent="0.25">
      <c r="A19" s="8">
        <v>41079</v>
      </c>
      <c r="B19" s="6">
        <f t="shared" si="0"/>
        <v>15510</v>
      </c>
      <c r="C19" s="6">
        <v>81.5</v>
      </c>
      <c r="D19" s="6">
        <f t="shared" si="1"/>
        <v>4.4006030202468169</v>
      </c>
      <c r="E19" s="6">
        <v>2</v>
      </c>
    </row>
    <row r="20" spans="1:5" x14ac:dyDescent="0.25">
      <c r="A20" s="8">
        <v>41233</v>
      </c>
      <c r="B20" s="6">
        <f t="shared" si="0"/>
        <v>15664</v>
      </c>
      <c r="C20" s="6">
        <v>50.5</v>
      </c>
      <c r="D20" s="6">
        <f t="shared" si="1"/>
        <v>3.9219733362813143</v>
      </c>
      <c r="E20" s="6">
        <v>2</v>
      </c>
    </row>
    <row r="21" spans="1:5" x14ac:dyDescent="0.25">
      <c r="A21" s="8">
        <v>41318</v>
      </c>
      <c r="B21" s="6">
        <f t="shared" si="0"/>
        <v>15749</v>
      </c>
      <c r="C21" s="6">
        <v>46.8</v>
      </c>
      <c r="D21" s="6">
        <f t="shared" si="1"/>
        <v>3.8458832029236012</v>
      </c>
      <c r="E21" s="6">
        <v>2</v>
      </c>
    </row>
    <row r="22" spans="1:5" x14ac:dyDescent="0.25">
      <c r="A22" s="8">
        <v>41415</v>
      </c>
      <c r="B22" s="6">
        <f t="shared" si="0"/>
        <v>15846</v>
      </c>
      <c r="C22" s="6">
        <v>39.299999999999997</v>
      </c>
      <c r="D22" s="6">
        <f t="shared" si="1"/>
        <v>3.6712245188752153</v>
      </c>
      <c r="E22" s="6">
        <v>2</v>
      </c>
    </row>
    <row r="23" spans="1:5" x14ac:dyDescent="0.25">
      <c r="A23" s="8">
        <v>41530</v>
      </c>
      <c r="B23" s="6">
        <f t="shared" si="0"/>
        <v>15961</v>
      </c>
      <c r="C23" s="6">
        <v>41.1</v>
      </c>
      <c r="D23" s="6">
        <f t="shared" si="1"/>
        <v>3.7160081215021892</v>
      </c>
      <c r="E23" s="6">
        <v>2</v>
      </c>
    </row>
    <row r="24" spans="1:5" x14ac:dyDescent="0.25">
      <c r="A24" s="8">
        <v>41628</v>
      </c>
      <c r="B24" s="6">
        <f t="shared" si="0"/>
        <v>16059</v>
      </c>
      <c r="C24" s="6">
        <v>37.4</v>
      </c>
      <c r="D24" s="6">
        <f t="shared" si="1"/>
        <v>3.6216707044204863</v>
      </c>
      <c r="E24" s="6">
        <v>2</v>
      </c>
    </row>
    <row r="25" spans="1:5" x14ac:dyDescent="0.25">
      <c r="A25" s="8">
        <v>41722</v>
      </c>
      <c r="B25" s="6">
        <f t="shared" si="0"/>
        <v>16153</v>
      </c>
      <c r="C25" s="6">
        <v>32.9</v>
      </c>
      <c r="D25" s="6">
        <f t="shared" si="1"/>
        <v>3.493472657771326</v>
      </c>
      <c r="E25" s="6">
        <v>2</v>
      </c>
    </row>
    <row r="26" spans="1:5" x14ac:dyDescent="0.25">
      <c r="A26" s="8">
        <v>41810</v>
      </c>
      <c r="B26" s="6">
        <f t="shared" si="0"/>
        <v>16241</v>
      </c>
      <c r="C26" s="6">
        <v>32</v>
      </c>
      <c r="D26" s="6">
        <f t="shared" si="1"/>
        <v>3.4657359027997265</v>
      </c>
      <c r="E26" s="6">
        <v>2</v>
      </c>
    </row>
    <row r="27" spans="1:5" x14ac:dyDescent="0.25">
      <c r="A27" s="8">
        <v>41887</v>
      </c>
      <c r="B27" s="6">
        <f t="shared" si="0"/>
        <v>16318</v>
      </c>
      <c r="C27" s="6">
        <v>34</v>
      </c>
      <c r="D27" s="6">
        <f t="shared" si="1"/>
        <v>3.5263605246161616</v>
      </c>
      <c r="E27" s="6">
        <v>2</v>
      </c>
    </row>
    <row r="28" spans="1:5" x14ac:dyDescent="0.25">
      <c r="A28" s="8">
        <v>41992</v>
      </c>
      <c r="B28" s="6">
        <f t="shared" si="0"/>
        <v>16423</v>
      </c>
      <c r="C28" s="6">
        <v>30.2</v>
      </c>
      <c r="D28" s="6">
        <f t="shared" si="1"/>
        <v>3.4078419243808238</v>
      </c>
      <c r="E28" s="6">
        <v>2</v>
      </c>
    </row>
    <row r="29" spans="1:5" x14ac:dyDescent="0.25">
      <c r="A29" s="8">
        <v>42062</v>
      </c>
      <c r="B29" s="6">
        <f t="shared" si="0"/>
        <v>16493</v>
      </c>
      <c r="C29" s="6">
        <v>29.5</v>
      </c>
      <c r="D29" s="6">
        <f t="shared" si="1"/>
        <v>3.3843902633457743</v>
      </c>
      <c r="E29" s="6">
        <v>2</v>
      </c>
    </row>
    <row r="30" spans="1:5" x14ac:dyDescent="0.25">
      <c r="A30" s="8">
        <v>42153</v>
      </c>
      <c r="B30" s="6">
        <f t="shared" si="0"/>
        <v>16584</v>
      </c>
      <c r="C30" s="6">
        <v>28.5</v>
      </c>
      <c r="D30" s="6">
        <f t="shared" si="1"/>
        <v>3.3499040872746049</v>
      </c>
      <c r="E30" s="6">
        <v>2</v>
      </c>
    </row>
    <row r="31" spans="1:5" x14ac:dyDescent="0.25">
      <c r="A31" s="8">
        <v>42242</v>
      </c>
      <c r="B31" s="6">
        <f t="shared" si="0"/>
        <v>16673</v>
      </c>
      <c r="C31" s="6">
        <v>23</v>
      </c>
      <c r="D31" s="6">
        <f t="shared" si="1"/>
        <v>3.1354942159291497</v>
      </c>
      <c r="E31" s="6">
        <v>2</v>
      </c>
    </row>
    <row r="32" spans="1:5" x14ac:dyDescent="0.25">
      <c r="A32" s="8">
        <v>42444</v>
      </c>
      <c r="B32" s="6">
        <f t="shared" si="0"/>
        <v>16875</v>
      </c>
      <c r="C32" s="6">
        <v>12.5</v>
      </c>
      <c r="D32" s="6">
        <f t="shared" si="1"/>
        <v>2.5257286443082556</v>
      </c>
      <c r="E32" s="6">
        <v>2</v>
      </c>
    </row>
    <row r="33" spans="1:5" x14ac:dyDescent="0.25">
      <c r="A33" s="8">
        <v>42540</v>
      </c>
      <c r="B33" s="6">
        <f t="shared" si="0"/>
        <v>16971</v>
      </c>
      <c r="C33" s="6">
        <v>9.0500000000000007</v>
      </c>
      <c r="D33" s="6">
        <f t="shared" si="1"/>
        <v>2.2027647577118348</v>
      </c>
      <c r="E33" s="6">
        <v>2</v>
      </c>
    </row>
    <row r="34" spans="1:5" x14ac:dyDescent="0.25">
      <c r="A34" s="8">
        <v>39939</v>
      </c>
      <c r="B34" s="6">
        <f t="shared" si="0"/>
        <v>14370</v>
      </c>
      <c r="C34" s="6">
        <v>344.5</v>
      </c>
      <c r="D34" s="6">
        <f t="shared" si="1"/>
        <v>5.8420940904537133</v>
      </c>
      <c r="E34" s="6">
        <v>1</v>
      </c>
    </row>
    <row r="35" spans="1:5" x14ac:dyDescent="0.25">
      <c r="A35" s="8">
        <v>40015</v>
      </c>
      <c r="B35" s="6">
        <f t="shared" ref="B35:B57" si="2">A35-DATE(1970,1,1)</f>
        <v>14446</v>
      </c>
      <c r="C35" s="6">
        <v>327.5</v>
      </c>
      <c r="D35" s="6">
        <f t="shared" ref="D35:D57" si="3">LN(C35)</f>
        <v>5.7914880550753063</v>
      </c>
      <c r="E35" s="6">
        <v>1</v>
      </c>
    </row>
    <row r="36" spans="1:5" x14ac:dyDescent="0.25">
      <c r="A36" s="8">
        <v>40036</v>
      </c>
      <c r="B36" s="6">
        <f t="shared" si="2"/>
        <v>14467</v>
      </c>
      <c r="C36" s="6">
        <v>396.5</v>
      </c>
      <c r="D36" s="6">
        <f t="shared" si="3"/>
        <v>5.9826760410749023</v>
      </c>
      <c r="E36" s="6">
        <v>1</v>
      </c>
    </row>
    <row r="37" spans="1:5" x14ac:dyDescent="0.25">
      <c r="A37" s="8">
        <v>40070</v>
      </c>
      <c r="B37" s="6">
        <f t="shared" si="2"/>
        <v>14501</v>
      </c>
      <c r="C37" s="6">
        <v>462.5</v>
      </c>
      <c r="D37" s="6">
        <f t="shared" si="3"/>
        <v>6.1366465569524795</v>
      </c>
      <c r="E37" s="6">
        <v>1</v>
      </c>
    </row>
    <row r="38" spans="1:5" x14ac:dyDescent="0.25">
      <c r="A38" s="8">
        <v>40094</v>
      </c>
      <c r="B38" s="6">
        <f t="shared" si="2"/>
        <v>14525</v>
      </c>
      <c r="C38" s="6">
        <v>485.5</v>
      </c>
      <c r="D38" s="6">
        <f t="shared" si="3"/>
        <v>6.1851792877313798</v>
      </c>
      <c r="E38" s="6">
        <v>1</v>
      </c>
    </row>
    <row r="39" spans="1:5" x14ac:dyDescent="0.25">
      <c r="A39" s="8">
        <v>40126</v>
      </c>
      <c r="B39" s="6">
        <f t="shared" si="2"/>
        <v>14557</v>
      </c>
      <c r="C39" s="6">
        <v>516</v>
      </c>
      <c r="D39" s="6">
        <f t="shared" si="3"/>
        <v>6.2461067654815627</v>
      </c>
      <c r="E39" s="6">
        <v>1</v>
      </c>
    </row>
    <row r="40" spans="1:5" x14ac:dyDescent="0.25">
      <c r="A40" s="8">
        <v>40193</v>
      </c>
      <c r="B40" s="6">
        <f t="shared" si="2"/>
        <v>14624</v>
      </c>
      <c r="C40" s="6">
        <v>488.5</v>
      </c>
      <c r="D40" s="6">
        <f t="shared" si="3"/>
        <v>6.1913394714828378</v>
      </c>
      <c r="E40" s="6">
        <v>1</v>
      </c>
    </row>
    <row r="41" spans="1:5" x14ac:dyDescent="0.25">
      <c r="A41" s="8">
        <v>40220</v>
      </c>
      <c r="B41" s="6">
        <f t="shared" si="2"/>
        <v>14651</v>
      </c>
      <c r="C41" s="6">
        <v>466</v>
      </c>
      <c r="D41" s="6">
        <f t="shared" si="3"/>
        <v>6.1441856341256456</v>
      </c>
      <c r="E41" s="6">
        <v>1</v>
      </c>
    </row>
    <row r="42" spans="1:5" x14ac:dyDescent="0.25">
      <c r="A42" s="8">
        <v>40314</v>
      </c>
      <c r="B42" s="6">
        <f t="shared" si="2"/>
        <v>14745</v>
      </c>
      <c r="C42" s="6">
        <v>317.5</v>
      </c>
      <c r="D42" s="6">
        <f t="shared" si="3"/>
        <v>5.7604778183327463</v>
      </c>
      <c r="E42" s="6">
        <v>1</v>
      </c>
    </row>
    <row r="43" spans="1:5" x14ac:dyDescent="0.25">
      <c r="A43" s="8">
        <v>40352</v>
      </c>
      <c r="B43" s="6">
        <f t="shared" si="2"/>
        <v>14783</v>
      </c>
      <c r="C43" s="6">
        <v>267</v>
      </c>
      <c r="D43" s="6">
        <f t="shared" si="3"/>
        <v>5.5872486584002496</v>
      </c>
      <c r="E43" s="6">
        <v>1</v>
      </c>
    </row>
    <row r="44" spans="1:5" x14ac:dyDescent="0.25">
      <c r="A44" s="8">
        <v>40407</v>
      </c>
      <c r="B44" s="6">
        <f t="shared" si="2"/>
        <v>14838</v>
      </c>
      <c r="C44" s="6">
        <v>253.5</v>
      </c>
      <c r="D44" s="6">
        <f t="shared" si="3"/>
        <v>5.5353638230312381</v>
      </c>
      <c r="E44" s="6">
        <v>1</v>
      </c>
    </row>
    <row r="45" spans="1:5" x14ac:dyDescent="0.25">
      <c r="A45" s="8">
        <v>40638</v>
      </c>
      <c r="B45" s="6">
        <f t="shared" si="2"/>
        <v>15069</v>
      </c>
      <c r="C45" s="6">
        <v>197</v>
      </c>
      <c r="D45" s="6">
        <f t="shared" si="3"/>
        <v>5.2832037287379885</v>
      </c>
      <c r="E45" s="6">
        <v>2</v>
      </c>
    </row>
    <row r="46" spans="1:5" x14ac:dyDescent="0.25">
      <c r="A46" s="8">
        <v>40687</v>
      </c>
      <c r="B46" s="6">
        <f t="shared" si="2"/>
        <v>15118</v>
      </c>
      <c r="C46" s="6">
        <v>177.5</v>
      </c>
      <c r="D46" s="6">
        <f t="shared" si="3"/>
        <v>5.1789706089154706</v>
      </c>
      <c r="E46" s="6">
        <v>2</v>
      </c>
    </row>
    <row r="47" spans="1:5" x14ac:dyDescent="0.25">
      <c r="A47" s="8">
        <v>40714</v>
      </c>
      <c r="B47" s="6">
        <f t="shared" si="2"/>
        <v>15145</v>
      </c>
      <c r="C47" s="6">
        <v>175</v>
      </c>
      <c r="D47" s="6">
        <f t="shared" si="3"/>
        <v>5.1647859739235145</v>
      </c>
      <c r="E47" s="6">
        <v>2</v>
      </c>
    </row>
    <row r="48" spans="1:5" x14ac:dyDescent="0.25">
      <c r="A48" s="8">
        <v>42356</v>
      </c>
      <c r="B48" s="6">
        <f t="shared" si="2"/>
        <v>16787</v>
      </c>
      <c r="C48" s="6">
        <v>17</v>
      </c>
      <c r="D48" s="6">
        <f t="shared" si="3"/>
        <v>2.8332133440562162</v>
      </c>
      <c r="E48" s="6">
        <v>2</v>
      </c>
    </row>
    <row r="49" spans="1:5" x14ac:dyDescent="0.25">
      <c r="A49" s="8">
        <v>42712</v>
      </c>
      <c r="B49" s="6">
        <f t="shared" si="2"/>
        <v>17143</v>
      </c>
      <c r="C49" s="6">
        <v>7.4</v>
      </c>
      <c r="D49" s="6">
        <f t="shared" si="3"/>
        <v>2.0014800002101243</v>
      </c>
      <c r="E49" s="6">
        <v>2</v>
      </c>
    </row>
    <row r="50" spans="1:5" x14ac:dyDescent="0.25">
      <c r="A50" s="8">
        <v>43077</v>
      </c>
      <c r="B50" s="6">
        <f t="shared" si="2"/>
        <v>17508</v>
      </c>
      <c r="C50" s="6">
        <v>5.9</v>
      </c>
      <c r="D50" s="6">
        <f t="shared" si="3"/>
        <v>1.7749523509116738</v>
      </c>
      <c r="E50" s="6">
        <v>2</v>
      </c>
    </row>
    <row r="51" spans="1:5" x14ac:dyDescent="0.25">
      <c r="A51" s="8">
        <v>43448</v>
      </c>
      <c r="B51" s="6">
        <f t="shared" si="2"/>
        <v>17879</v>
      </c>
      <c r="C51" s="6">
        <v>4.0999999999999996</v>
      </c>
      <c r="D51" s="6">
        <f t="shared" si="3"/>
        <v>1.410986973710262</v>
      </c>
      <c r="E51" s="6">
        <v>2</v>
      </c>
    </row>
    <row r="52" spans="1:5" x14ac:dyDescent="0.25">
      <c r="A52" s="8">
        <v>43802</v>
      </c>
      <c r="B52" s="6">
        <f t="shared" si="2"/>
        <v>18233</v>
      </c>
      <c r="C52" s="6">
        <v>5.78</v>
      </c>
      <c r="D52" s="6">
        <f t="shared" si="3"/>
        <v>1.7544036826842861</v>
      </c>
      <c r="E52" s="6">
        <v>2</v>
      </c>
    </row>
    <row r="53" spans="1:5" x14ac:dyDescent="0.25">
      <c r="A53" s="8">
        <v>44172</v>
      </c>
      <c r="B53" s="6">
        <f t="shared" si="2"/>
        <v>18603</v>
      </c>
      <c r="C53" s="6">
        <v>4.3899999999999997</v>
      </c>
      <c r="D53" s="6">
        <f t="shared" si="3"/>
        <v>1.4793292270870799</v>
      </c>
      <c r="E53" s="6">
        <v>2</v>
      </c>
    </row>
    <row r="54" spans="1:5" x14ac:dyDescent="0.25">
      <c r="A54" s="8">
        <v>44515</v>
      </c>
      <c r="B54" s="6">
        <f t="shared" si="2"/>
        <v>18946</v>
      </c>
      <c r="C54" s="6">
        <v>5.04</v>
      </c>
      <c r="D54" s="6">
        <f t="shared" si="3"/>
        <v>1.6174060820832772</v>
      </c>
      <c r="E54" s="6">
        <v>2</v>
      </c>
    </row>
    <row r="55" spans="1:5" x14ac:dyDescent="0.25">
      <c r="A55" s="8">
        <v>44865</v>
      </c>
      <c r="B55" s="6">
        <f t="shared" si="2"/>
        <v>19296</v>
      </c>
      <c r="C55" s="6">
        <v>3.93</v>
      </c>
      <c r="D55" s="6">
        <f t="shared" si="3"/>
        <v>1.3686394258811698</v>
      </c>
      <c r="E55" s="6">
        <v>2</v>
      </c>
    </row>
    <row r="56" spans="1:5" x14ac:dyDescent="0.25">
      <c r="A56" s="8">
        <v>45155</v>
      </c>
      <c r="B56" s="6">
        <f t="shared" si="2"/>
        <v>19586</v>
      </c>
      <c r="C56" s="6">
        <v>5.86</v>
      </c>
      <c r="D56" s="6">
        <f t="shared" si="3"/>
        <v>1.7681496035889213</v>
      </c>
      <c r="E56" s="6">
        <v>2</v>
      </c>
    </row>
    <row r="57" spans="1:5" x14ac:dyDescent="0.25">
      <c r="A57" s="8">
        <v>45344</v>
      </c>
      <c r="B57" s="6">
        <f t="shared" si="2"/>
        <v>19775</v>
      </c>
      <c r="C57" s="6">
        <v>6.04</v>
      </c>
      <c r="D57" s="6">
        <f t="shared" si="3"/>
        <v>1.7984040119467235</v>
      </c>
      <c r="E57" s="6">
        <v>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63709-B220-4FD3-9373-D06705FD91B9}">
  <dimension ref="A1:M183"/>
  <sheetViews>
    <sheetView workbookViewId="0">
      <selection activeCell="K28" sqref="K28"/>
    </sheetView>
  </sheetViews>
  <sheetFormatPr defaultRowHeight="15" x14ac:dyDescent="0.25"/>
  <cols>
    <col min="1" max="1" width="11.140625" style="8" customWidth="1"/>
    <col min="2" max="6" width="11.140625" style="6" customWidth="1"/>
    <col min="7" max="9" width="9.140625" style="6"/>
    <col min="10" max="12" width="12.42578125" style="6" customWidth="1"/>
    <col min="13" max="13" width="37" style="6" bestFit="1" customWidth="1"/>
    <col min="14" max="16384" width="9.140625" style="6"/>
  </cols>
  <sheetData>
    <row r="1" spans="1:13" s="3" customFormat="1" ht="15.75" x14ac:dyDescent="0.25">
      <c r="A1" s="2" t="s">
        <v>7</v>
      </c>
    </row>
    <row r="2" spans="1:13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9</v>
      </c>
      <c r="F2" s="5" t="s">
        <v>4</v>
      </c>
      <c r="I2" s="7" t="s">
        <v>4</v>
      </c>
      <c r="J2" s="7" t="s">
        <v>5</v>
      </c>
      <c r="K2" s="7" t="s">
        <v>9</v>
      </c>
      <c r="L2" s="7" t="s">
        <v>6</v>
      </c>
    </row>
    <row r="3" spans="1:13" x14ac:dyDescent="0.25">
      <c r="A3" s="8">
        <v>39512</v>
      </c>
      <c r="B3" s="6">
        <f t="shared" ref="B3:B34" si="0">A3-DATE(1970,1,1)</f>
        <v>13943</v>
      </c>
      <c r="C3" s="6">
        <v>55.6</v>
      </c>
      <c r="D3" s="6">
        <f t="shared" ref="D3:D34" si="1">LN(C3)</f>
        <v>4.0181832012565364</v>
      </c>
      <c r="E3" s="6">
        <v>117.497526620241</v>
      </c>
      <c r="F3" s="6">
        <v>1</v>
      </c>
      <c r="I3" s="9">
        <v>1</v>
      </c>
      <c r="J3" s="10" cm="1">
        <f t="array" ref="J3">INDEX(LINEST(_xlfn._xlws.FILTER($D$3:$D$1000,$F$3:$F$1000=$I3),CHOOSE({1,2},_xlfn._xlws.FILTER($E$3:$E$1000,$F$3:$F$1000=$I3),_xlfn._xlws.FILTER($B$3:$B$1000,$F$3:$F$1000=$I3)),TRUE,TRUE),1,1)</f>
        <v>3.5239368645220205E-4</v>
      </c>
      <c r="K3" s="11" cm="1">
        <f t="array" ref="K3">INDEX(LINEST(_xlfn._xlws.FILTER($D$3:$D$1000,$F$3:$F$1000=$I3),CHOOSE({1,2},_xlfn._xlws.FILTER($E$3:$E$1000,$F$3:$F$1000=$I3),_xlfn._xlws.FILTER($B$3:$B$1000,$F$3:$F$1000=$I3)),TRUE,TRUE),1,2)</f>
        <v>-3.9708028333153851E-2</v>
      </c>
      <c r="L3" s="6" cm="1">
        <f t="array" ref="L3">INDEX(LINEST(_xlfn._xlws.FILTER($D$3:$D$1000,$F$3:$F$1000=$I3),CHOOSE({1,2},_xlfn._xlws.FILTER($E$3:$E$1000,$F$3:$F$1000=$I3),_xlfn._xlws.FILTER($B$3:$B$1000,$F$3:$F$1000=$I3)),TRUE,TRUE),1,3)</f>
        <v>3.5959451854528623</v>
      </c>
    </row>
    <row r="4" spans="1:13" x14ac:dyDescent="0.25">
      <c r="A4" s="8">
        <v>39583</v>
      </c>
      <c r="B4" s="6">
        <f t="shared" si="0"/>
        <v>14014</v>
      </c>
      <c r="C4" s="6">
        <v>45.8</v>
      </c>
      <c r="D4" s="6">
        <f t="shared" si="1"/>
        <v>3.824284091120139</v>
      </c>
      <c r="E4" s="6">
        <v>118.631361334617</v>
      </c>
      <c r="F4" s="6">
        <v>1</v>
      </c>
      <c r="I4" s="9">
        <v>2</v>
      </c>
      <c r="J4" s="10" cm="1">
        <f t="array" ref="J4">INDEX(LINEST(_xlfn._xlws.FILTER($D$3:$D$1000,$F$3:$F$1000=$I4),CHOOSE({1,2},_xlfn._xlws.FILTER($E$3:$E$1000,$F$3:$F$1000=$I4),_xlfn._xlws.FILTER($B$3:$B$1000,$F$3:$F$1000=$I4)),TRUE,TRUE),1,1)</f>
        <v>-1.1923821667710018E-3</v>
      </c>
      <c r="K4" s="11" cm="1">
        <f t="array" ref="K4">INDEX(LINEST(_xlfn._xlws.FILTER($D$3:$D$1000,$F$3:$F$1000=$I4),CHOOSE({1,2},_xlfn._xlws.FILTER($E$3:$E$1000,$F$3:$F$1000=$I4),_xlfn._xlws.FILTER($B$3:$B$1000,$F$3:$F$1000=$I4)),TRUE,TRUE),1,2)</f>
        <v>-0.23647313875647846</v>
      </c>
      <c r="L4" s="6" cm="1">
        <f t="array" ref="L4">INDEX(LINEST(_xlfn._xlws.FILTER($D$3:$D$1000,$F$3:$F$1000=$I4),CHOOSE({1,2},_xlfn._xlws.FILTER($E$3:$E$1000,$F$3:$F$1000=$I4),_xlfn._xlws.FILTER($B$3:$B$1000,$F$3:$F$1000=$I4)),TRUE,TRUE),1,3)</f>
        <v>49.462755012965317</v>
      </c>
    </row>
    <row r="5" spans="1:13" x14ac:dyDescent="0.25">
      <c r="A5" s="8">
        <v>39684</v>
      </c>
      <c r="B5" s="6">
        <f t="shared" si="0"/>
        <v>14115</v>
      </c>
      <c r="C5" s="6">
        <v>48</v>
      </c>
      <c r="D5" s="6">
        <f t="shared" si="1"/>
        <v>3.8712010109078911</v>
      </c>
      <c r="E5" s="6">
        <v>117.897650696554</v>
      </c>
      <c r="F5" s="6">
        <v>1</v>
      </c>
      <c r="I5" s="12">
        <v>3</v>
      </c>
      <c r="J5" s="13" cm="1">
        <f t="array" ref="J5">INDEX(LINEST(_xlfn._xlws.FILTER($D$3:$D$1000,$F$3:$F$1000=$I5),CHOOSE({1,2},_xlfn._xlws.FILTER($E$3:$E$1000,$F$3:$F$1000=$I5),_xlfn._xlws.FILTER($B$3:$B$1000,$F$3:$F$1000=$I5)),TRUE,TRUE),1,1)</f>
        <v>8.7991292915988819E-5</v>
      </c>
      <c r="K5" s="14" cm="1">
        <f t="array" ref="K5">INDEX(LINEST(_xlfn._xlws.FILTER($D$3:$D$1000,$F$3:$F$1000=$I5),CHOOSE({1,2},_xlfn._xlws.FILTER($E$3:$E$1000,$F$3:$F$1000=$I5),_xlfn._xlws.FILTER($B$3:$B$1000,$F$3:$F$1000=$I5)),TRUE,TRUE),1,2)</f>
        <v>-0.11161537621619685</v>
      </c>
      <c r="L5" s="15" cm="1">
        <f t="array" ref="L5">INDEX(LINEST(_xlfn._xlws.FILTER($D$3:$D$1000,$F$3:$F$1000=$I5),CHOOSE({1,2},_xlfn._xlws.FILTER($E$3:$E$1000,$F$3:$F$1000=$I5),_xlfn._xlws.FILTER($B$3:$B$1000,$F$3:$F$1000=$I5)),TRUE,TRUE),1,3)</f>
        <v>13.209573855652836</v>
      </c>
      <c r="M5" s="15" t="s">
        <v>10</v>
      </c>
    </row>
    <row r="6" spans="1:13" x14ac:dyDescent="0.25">
      <c r="A6" s="8">
        <v>39771</v>
      </c>
      <c r="B6" s="6">
        <f t="shared" si="0"/>
        <v>14202</v>
      </c>
      <c r="C6" s="6">
        <v>47.6</v>
      </c>
      <c r="D6" s="6">
        <f t="shared" si="1"/>
        <v>3.8628327612373745</v>
      </c>
      <c r="E6" s="6">
        <v>117.209700945272</v>
      </c>
      <c r="F6" s="6">
        <v>1</v>
      </c>
      <c r="I6" s="9"/>
    </row>
    <row r="7" spans="1:13" x14ac:dyDescent="0.25">
      <c r="A7" s="8">
        <v>39869</v>
      </c>
      <c r="B7" s="6">
        <f t="shared" si="0"/>
        <v>14300</v>
      </c>
      <c r="C7" s="6">
        <v>52</v>
      </c>
      <c r="D7" s="6">
        <f t="shared" si="1"/>
        <v>3.9512437185814275</v>
      </c>
      <c r="E7" s="6">
        <v>117.68303205827</v>
      </c>
      <c r="F7" s="6">
        <v>1</v>
      </c>
    </row>
    <row r="8" spans="1:13" x14ac:dyDescent="0.25">
      <c r="A8" s="8">
        <v>39940</v>
      </c>
      <c r="B8" s="6">
        <f t="shared" si="0"/>
        <v>14371</v>
      </c>
      <c r="C8" s="6">
        <v>46.25</v>
      </c>
      <c r="D8" s="6">
        <f t="shared" si="1"/>
        <v>3.8340614639584341</v>
      </c>
      <c r="E8" s="6">
        <v>117.316991844622</v>
      </c>
      <c r="F8" s="6">
        <v>1</v>
      </c>
      <c r="J8" s="10"/>
      <c r="K8" s="11"/>
    </row>
    <row r="9" spans="1:13" x14ac:dyDescent="0.25">
      <c r="A9" s="8">
        <v>40035</v>
      </c>
      <c r="B9" s="6">
        <f t="shared" si="0"/>
        <v>14466</v>
      </c>
      <c r="C9" s="6">
        <v>52.975000000000001</v>
      </c>
      <c r="D9" s="6">
        <f t="shared" si="1"/>
        <v>3.9698201041543628</v>
      </c>
      <c r="E9" s="6">
        <v>116.912852971726</v>
      </c>
      <c r="F9" s="6">
        <v>1</v>
      </c>
      <c r="J9" s="10"/>
      <c r="K9" s="11"/>
    </row>
    <row r="10" spans="1:13" x14ac:dyDescent="0.25">
      <c r="A10" s="8">
        <v>40094</v>
      </c>
      <c r="B10" s="6">
        <f t="shared" si="0"/>
        <v>14525</v>
      </c>
      <c r="C10" s="6">
        <v>61.924999999999997</v>
      </c>
      <c r="D10" s="6">
        <f t="shared" si="1"/>
        <v>4.1259239753754233</v>
      </c>
      <c r="E10" s="6">
        <v>115.707609754429</v>
      </c>
      <c r="F10" s="6">
        <v>1</v>
      </c>
    </row>
    <row r="11" spans="1:13" x14ac:dyDescent="0.25">
      <c r="A11" s="8">
        <v>40261</v>
      </c>
      <c r="B11" s="6">
        <f t="shared" si="0"/>
        <v>14692</v>
      </c>
      <c r="C11" s="6">
        <v>69.400000000000006</v>
      </c>
      <c r="D11" s="6">
        <f t="shared" si="1"/>
        <v>4.2398868675127588</v>
      </c>
      <c r="E11" s="6">
        <v>117.12317003726599</v>
      </c>
      <c r="F11" s="6">
        <v>1</v>
      </c>
    </row>
    <row r="12" spans="1:13" x14ac:dyDescent="0.25">
      <c r="A12" s="8">
        <v>40332</v>
      </c>
      <c r="B12" s="6">
        <f t="shared" si="0"/>
        <v>14763</v>
      </c>
      <c r="C12" s="6">
        <v>68.05</v>
      </c>
      <c r="D12" s="6">
        <f t="shared" si="1"/>
        <v>4.2202427290974747</v>
      </c>
      <c r="E12" s="6">
        <v>116.877507651711</v>
      </c>
      <c r="F12" s="6">
        <v>1</v>
      </c>
    </row>
    <row r="13" spans="1:13" x14ac:dyDescent="0.25">
      <c r="A13" s="8">
        <v>40546</v>
      </c>
      <c r="B13" s="6">
        <f t="shared" si="0"/>
        <v>14977</v>
      </c>
      <c r="C13" s="6">
        <v>43</v>
      </c>
      <c r="D13" s="6">
        <f t="shared" si="1"/>
        <v>3.7612001156935624</v>
      </c>
      <c r="E13" s="6">
        <v>118.431038575868</v>
      </c>
      <c r="F13" s="6">
        <v>2</v>
      </c>
    </row>
    <row r="14" spans="1:13" x14ac:dyDescent="0.25">
      <c r="A14" s="8">
        <v>40589</v>
      </c>
      <c r="B14" s="6">
        <f t="shared" si="0"/>
        <v>15020</v>
      </c>
      <c r="C14" s="6">
        <v>39</v>
      </c>
      <c r="D14" s="6">
        <f t="shared" si="1"/>
        <v>3.6635616461296463</v>
      </c>
      <c r="E14" s="6">
        <v>118.13460728695701</v>
      </c>
      <c r="F14" s="6">
        <v>2</v>
      </c>
    </row>
    <row r="15" spans="1:13" x14ac:dyDescent="0.25">
      <c r="A15" s="8">
        <v>40616</v>
      </c>
      <c r="B15" s="6">
        <f t="shared" si="0"/>
        <v>15047</v>
      </c>
      <c r="C15" s="6">
        <v>40</v>
      </c>
      <c r="D15" s="6">
        <f t="shared" si="1"/>
        <v>3.6888794541139363</v>
      </c>
      <c r="E15" s="6">
        <v>118.64945403909</v>
      </c>
      <c r="F15" s="6">
        <v>2</v>
      </c>
    </row>
    <row r="16" spans="1:13" x14ac:dyDescent="0.25">
      <c r="A16" s="8">
        <v>40673</v>
      </c>
      <c r="B16" s="6">
        <f t="shared" si="0"/>
        <v>15104</v>
      </c>
      <c r="C16" s="6">
        <v>20</v>
      </c>
      <c r="D16" s="6">
        <f t="shared" si="1"/>
        <v>2.9957322735539909</v>
      </c>
      <c r="E16" s="6">
        <v>118.285709163981</v>
      </c>
      <c r="F16" s="6">
        <v>2</v>
      </c>
    </row>
    <row r="17" spans="1:6" x14ac:dyDescent="0.25">
      <c r="A17" s="8">
        <v>40696</v>
      </c>
      <c r="B17" s="6">
        <f t="shared" si="0"/>
        <v>15127</v>
      </c>
      <c r="C17" s="6">
        <v>28</v>
      </c>
      <c r="D17" s="6">
        <f t="shared" si="1"/>
        <v>3.3322045101752038</v>
      </c>
      <c r="E17" s="6">
        <v>118.21042559736</v>
      </c>
      <c r="F17" s="6">
        <v>2</v>
      </c>
    </row>
    <row r="18" spans="1:6" x14ac:dyDescent="0.25">
      <c r="A18" s="8">
        <v>40729</v>
      </c>
      <c r="B18" s="6">
        <f t="shared" si="0"/>
        <v>15160</v>
      </c>
      <c r="C18" s="6">
        <v>24</v>
      </c>
      <c r="D18" s="6">
        <f t="shared" si="1"/>
        <v>3.1780538303479458</v>
      </c>
      <c r="E18" s="6">
        <v>120.567922650036</v>
      </c>
      <c r="F18" s="6">
        <v>2</v>
      </c>
    </row>
    <row r="19" spans="1:6" x14ac:dyDescent="0.25">
      <c r="A19" s="8">
        <v>40757</v>
      </c>
      <c r="B19" s="6">
        <f t="shared" si="0"/>
        <v>15188</v>
      </c>
      <c r="C19" s="6">
        <v>23</v>
      </c>
      <c r="D19" s="6">
        <f t="shared" si="1"/>
        <v>3.1354942159291497</v>
      </c>
      <c r="E19" s="6">
        <v>119.760134633729</v>
      </c>
      <c r="F19" s="6">
        <v>2</v>
      </c>
    </row>
    <row r="20" spans="1:6" x14ac:dyDescent="0.25">
      <c r="A20" s="8">
        <v>40787</v>
      </c>
      <c r="B20" s="6">
        <f t="shared" si="0"/>
        <v>15218</v>
      </c>
      <c r="C20" s="6">
        <v>18</v>
      </c>
      <c r="D20" s="6">
        <f t="shared" si="1"/>
        <v>2.8903717578961645</v>
      </c>
      <c r="E20" s="6">
        <v>118.66412001539101</v>
      </c>
      <c r="F20" s="6">
        <v>2</v>
      </c>
    </row>
    <row r="21" spans="1:6" x14ac:dyDescent="0.25">
      <c r="A21" s="8">
        <v>40821</v>
      </c>
      <c r="B21" s="6">
        <f t="shared" si="0"/>
        <v>15252</v>
      </c>
      <c r="C21" s="6">
        <v>30</v>
      </c>
      <c r="D21" s="6">
        <f t="shared" si="1"/>
        <v>3.4011973816621555</v>
      </c>
      <c r="E21" s="6">
        <v>118.244437348779</v>
      </c>
      <c r="F21" s="6">
        <v>2</v>
      </c>
    </row>
    <row r="22" spans="1:6" x14ac:dyDescent="0.25">
      <c r="A22" s="8">
        <v>40849</v>
      </c>
      <c r="B22" s="6">
        <f t="shared" si="0"/>
        <v>15280</v>
      </c>
      <c r="C22" s="6">
        <v>29</v>
      </c>
      <c r="D22" s="6">
        <f t="shared" si="1"/>
        <v>3.3672958299864741</v>
      </c>
      <c r="E22" s="6">
        <v>117.234120919874</v>
      </c>
      <c r="F22" s="6">
        <v>2</v>
      </c>
    </row>
    <row r="23" spans="1:6" x14ac:dyDescent="0.25">
      <c r="A23" s="8">
        <v>40884</v>
      </c>
      <c r="B23" s="6">
        <f t="shared" si="0"/>
        <v>15315</v>
      </c>
      <c r="C23" s="6">
        <v>24</v>
      </c>
      <c r="D23" s="6">
        <f t="shared" si="1"/>
        <v>3.1780538303479458</v>
      </c>
      <c r="E23" s="6">
        <v>117.31424643344501</v>
      </c>
      <c r="F23" s="6">
        <v>2</v>
      </c>
    </row>
    <row r="24" spans="1:6" x14ac:dyDescent="0.25">
      <c r="A24" s="8">
        <v>40952</v>
      </c>
      <c r="B24" s="6">
        <f t="shared" si="0"/>
        <v>15383</v>
      </c>
      <c r="C24" s="6">
        <v>26</v>
      </c>
      <c r="D24" s="6">
        <f t="shared" si="1"/>
        <v>3.2580965380214821</v>
      </c>
      <c r="E24" s="6">
        <v>117.778489756366</v>
      </c>
      <c r="F24" s="6">
        <v>2</v>
      </c>
    </row>
    <row r="25" spans="1:6" x14ac:dyDescent="0.25">
      <c r="A25" s="8">
        <v>40976</v>
      </c>
      <c r="B25" s="6">
        <f t="shared" si="0"/>
        <v>15407</v>
      </c>
      <c r="C25" s="6">
        <v>27</v>
      </c>
      <c r="D25" s="6">
        <f t="shared" si="1"/>
        <v>3.2958368660043291</v>
      </c>
      <c r="E25" s="6">
        <v>116.785691507699</v>
      </c>
      <c r="F25" s="6">
        <v>2</v>
      </c>
    </row>
    <row r="26" spans="1:6" x14ac:dyDescent="0.25">
      <c r="A26" s="8">
        <v>41002</v>
      </c>
      <c r="B26" s="6">
        <f t="shared" si="0"/>
        <v>15433</v>
      </c>
      <c r="C26" s="6">
        <v>21</v>
      </c>
      <c r="D26" s="6">
        <f t="shared" si="1"/>
        <v>3.044522437723423</v>
      </c>
      <c r="E26" s="6">
        <v>117.480226611674</v>
      </c>
      <c r="F26" s="6">
        <v>2</v>
      </c>
    </row>
    <row r="27" spans="1:6" x14ac:dyDescent="0.25">
      <c r="A27" s="8">
        <v>41028</v>
      </c>
      <c r="B27" s="6">
        <f t="shared" si="0"/>
        <v>15459</v>
      </c>
      <c r="C27" s="6">
        <v>17.05</v>
      </c>
      <c r="D27" s="6">
        <f t="shared" si="1"/>
        <v>2.8361502037295256</v>
      </c>
      <c r="E27" s="6">
        <v>117.86942878225901</v>
      </c>
      <c r="F27" s="6">
        <v>2</v>
      </c>
    </row>
    <row r="28" spans="1:6" x14ac:dyDescent="0.25">
      <c r="A28" s="8">
        <v>41065</v>
      </c>
      <c r="B28" s="6">
        <f t="shared" si="0"/>
        <v>15496</v>
      </c>
      <c r="C28" s="6">
        <v>15</v>
      </c>
      <c r="D28" s="6">
        <f t="shared" si="1"/>
        <v>2.7080502011022101</v>
      </c>
      <c r="E28" s="6">
        <v>118.439489626143</v>
      </c>
      <c r="F28" s="6">
        <v>2</v>
      </c>
    </row>
    <row r="29" spans="1:6" x14ac:dyDescent="0.25">
      <c r="A29" s="8">
        <v>41101</v>
      </c>
      <c r="B29" s="6">
        <f t="shared" si="0"/>
        <v>15532</v>
      </c>
      <c r="C29" s="6">
        <v>10</v>
      </c>
      <c r="D29" s="6">
        <f t="shared" si="1"/>
        <v>2.3025850929940459</v>
      </c>
      <c r="E29" s="6">
        <v>118.231458884864</v>
      </c>
      <c r="F29" s="6">
        <v>2</v>
      </c>
    </row>
    <row r="30" spans="1:6" x14ac:dyDescent="0.25">
      <c r="A30" s="8">
        <v>41112</v>
      </c>
      <c r="B30" s="6">
        <f t="shared" si="0"/>
        <v>15543</v>
      </c>
      <c r="C30" s="6">
        <v>11.85</v>
      </c>
      <c r="D30" s="6">
        <f t="shared" si="1"/>
        <v>2.4723278675811402</v>
      </c>
      <c r="E30" s="6">
        <v>119.68094532159201</v>
      </c>
      <c r="F30" s="6">
        <v>2</v>
      </c>
    </row>
    <row r="31" spans="1:6" x14ac:dyDescent="0.25">
      <c r="A31" s="8">
        <v>41122</v>
      </c>
      <c r="B31" s="6">
        <f t="shared" si="0"/>
        <v>15553</v>
      </c>
      <c r="C31" s="6">
        <v>13</v>
      </c>
      <c r="D31" s="6">
        <f t="shared" si="1"/>
        <v>2.5649493574615367</v>
      </c>
      <c r="E31" s="6">
        <v>119.567392996793</v>
      </c>
      <c r="F31" s="6">
        <v>2</v>
      </c>
    </row>
    <row r="32" spans="1:6" x14ac:dyDescent="0.25">
      <c r="A32" s="8">
        <v>41157</v>
      </c>
      <c r="B32" s="6">
        <f t="shared" si="0"/>
        <v>15588</v>
      </c>
      <c r="C32" s="6">
        <v>22</v>
      </c>
      <c r="D32" s="6">
        <f t="shared" si="1"/>
        <v>3.0910424533583161</v>
      </c>
      <c r="E32" s="6">
        <v>118.677069937947</v>
      </c>
      <c r="F32" s="6">
        <v>2</v>
      </c>
    </row>
    <row r="33" spans="1:6" x14ac:dyDescent="0.25">
      <c r="A33" s="8">
        <v>41183</v>
      </c>
      <c r="B33" s="6">
        <f t="shared" si="0"/>
        <v>15614</v>
      </c>
      <c r="C33" s="6">
        <v>31</v>
      </c>
      <c r="D33" s="6">
        <f t="shared" si="1"/>
        <v>3.4339872044851463</v>
      </c>
      <c r="E33" s="6">
        <v>117.542185410334</v>
      </c>
      <c r="F33" s="6">
        <v>2</v>
      </c>
    </row>
    <row r="34" spans="1:6" x14ac:dyDescent="0.25">
      <c r="A34" s="8">
        <v>41210</v>
      </c>
      <c r="B34" s="6">
        <f t="shared" si="0"/>
        <v>15641</v>
      </c>
      <c r="C34" s="6">
        <v>31.6</v>
      </c>
      <c r="D34" s="6">
        <f t="shared" si="1"/>
        <v>3.4531571205928664</v>
      </c>
      <c r="E34" s="6">
        <v>115.80910195887</v>
      </c>
      <c r="F34" s="6">
        <v>2</v>
      </c>
    </row>
    <row r="35" spans="1:6" x14ac:dyDescent="0.25">
      <c r="A35" s="8">
        <v>41218</v>
      </c>
      <c r="B35" s="6">
        <f t="shared" ref="B35:B66" si="2">A35-DATE(1970,1,1)</f>
        <v>15649</v>
      </c>
      <c r="C35" s="6">
        <v>31</v>
      </c>
      <c r="D35" s="6">
        <f t="shared" ref="D35:D66" si="3">LN(C35)</f>
        <v>3.4339872044851463</v>
      </c>
      <c r="E35" s="6">
        <v>116.45855449068399</v>
      </c>
      <c r="F35" s="6">
        <v>2</v>
      </c>
    </row>
    <row r="36" spans="1:6" x14ac:dyDescent="0.25">
      <c r="A36" s="8">
        <v>41246</v>
      </c>
      <c r="B36" s="6">
        <f t="shared" si="2"/>
        <v>15677</v>
      </c>
      <c r="C36" s="6">
        <v>20</v>
      </c>
      <c r="D36" s="6">
        <f t="shared" si="3"/>
        <v>2.9957322735539909</v>
      </c>
      <c r="E36" s="6">
        <v>116.272677863456</v>
      </c>
      <c r="F36" s="6">
        <v>2</v>
      </c>
    </row>
    <row r="37" spans="1:6" x14ac:dyDescent="0.25">
      <c r="A37" s="8">
        <v>41281</v>
      </c>
      <c r="B37" s="6">
        <f t="shared" si="2"/>
        <v>15712</v>
      </c>
      <c r="C37" s="6">
        <v>14</v>
      </c>
      <c r="D37" s="6">
        <f t="shared" si="3"/>
        <v>2.6390573296152584</v>
      </c>
      <c r="E37" s="6">
        <v>117.135490101214</v>
      </c>
      <c r="F37" s="6">
        <v>2</v>
      </c>
    </row>
    <row r="38" spans="1:6" x14ac:dyDescent="0.25">
      <c r="A38" s="8">
        <v>41309</v>
      </c>
      <c r="B38" s="6">
        <f t="shared" si="2"/>
        <v>15740</v>
      </c>
      <c r="C38" s="6">
        <v>18</v>
      </c>
      <c r="D38" s="6">
        <f t="shared" si="3"/>
        <v>2.8903717578961645</v>
      </c>
      <c r="E38" s="6">
        <v>117.89408653747</v>
      </c>
      <c r="F38" s="6">
        <v>2</v>
      </c>
    </row>
    <row r="39" spans="1:6" x14ac:dyDescent="0.25">
      <c r="A39" s="8">
        <v>41345</v>
      </c>
      <c r="B39" s="6">
        <f t="shared" si="2"/>
        <v>15776</v>
      </c>
      <c r="C39" s="6">
        <v>27</v>
      </c>
      <c r="D39" s="6">
        <f t="shared" si="3"/>
        <v>3.2958368660043291</v>
      </c>
      <c r="E39" s="6">
        <v>116.630986225201</v>
      </c>
      <c r="F39" s="6">
        <v>2</v>
      </c>
    </row>
    <row r="40" spans="1:6" x14ac:dyDescent="0.25">
      <c r="A40" s="8">
        <v>41366</v>
      </c>
      <c r="B40" s="6">
        <f t="shared" si="2"/>
        <v>15797</v>
      </c>
      <c r="C40" s="6">
        <v>28</v>
      </c>
      <c r="D40" s="6">
        <f t="shared" si="3"/>
        <v>3.3322045101752038</v>
      </c>
      <c r="E40" s="6">
        <v>116.402896336696</v>
      </c>
      <c r="F40" s="6">
        <v>2</v>
      </c>
    </row>
    <row r="41" spans="1:6" x14ac:dyDescent="0.25">
      <c r="A41" s="8">
        <v>41400</v>
      </c>
      <c r="B41" s="6">
        <f t="shared" si="2"/>
        <v>15831</v>
      </c>
      <c r="C41" s="6">
        <v>17</v>
      </c>
      <c r="D41" s="6">
        <f t="shared" si="3"/>
        <v>2.8332133440562162</v>
      </c>
      <c r="E41" s="6">
        <v>116.83053137429999</v>
      </c>
      <c r="F41" s="6">
        <v>2</v>
      </c>
    </row>
    <row r="42" spans="1:6" x14ac:dyDescent="0.25">
      <c r="A42" s="8">
        <v>41407</v>
      </c>
      <c r="B42" s="6">
        <f t="shared" si="2"/>
        <v>15838</v>
      </c>
      <c r="C42" s="6">
        <v>13.5</v>
      </c>
      <c r="D42" s="6">
        <f t="shared" si="3"/>
        <v>2.6026896854443837</v>
      </c>
      <c r="E42" s="6">
        <v>117.775349528175</v>
      </c>
      <c r="F42" s="6">
        <v>2</v>
      </c>
    </row>
    <row r="43" spans="1:6" x14ac:dyDescent="0.25">
      <c r="A43" s="8">
        <v>41429</v>
      </c>
      <c r="B43" s="6">
        <f t="shared" si="2"/>
        <v>15860</v>
      </c>
      <c r="C43" s="6">
        <v>11</v>
      </c>
      <c r="D43" s="6">
        <f t="shared" si="3"/>
        <v>2.3978952727983707</v>
      </c>
      <c r="E43" s="6">
        <v>118.66491265469</v>
      </c>
      <c r="F43" s="6">
        <v>2</v>
      </c>
    </row>
    <row r="44" spans="1:6" x14ac:dyDescent="0.25">
      <c r="A44" s="8">
        <v>41457</v>
      </c>
      <c r="B44" s="6">
        <f t="shared" si="2"/>
        <v>15888</v>
      </c>
      <c r="C44" s="6">
        <v>12</v>
      </c>
      <c r="D44" s="6">
        <f t="shared" si="3"/>
        <v>2.4849066497880004</v>
      </c>
      <c r="E44" s="6">
        <v>118.166196677527</v>
      </c>
      <c r="F44" s="6">
        <v>2</v>
      </c>
    </row>
    <row r="45" spans="1:6" x14ac:dyDescent="0.25">
      <c r="A45" s="8">
        <v>41492</v>
      </c>
      <c r="B45" s="6">
        <f t="shared" si="2"/>
        <v>15923</v>
      </c>
      <c r="C45" s="6">
        <v>16</v>
      </c>
      <c r="D45" s="6">
        <f t="shared" si="3"/>
        <v>2.7725887222397811</v>
      </c>
      <c r="E45" s="6">
        <v>118.95995865563999</v>
      </c>
      <c r="F45" s="6">
        <v>2</v>
      </c>
    </row>
    <row r="46" spans="1:6" x14ac:dyDescent="0.25">
      <c r="A46" s="8">
        <v>41494</v>
      </c>
      <c r="B46" s="6">
        <f t="shared" si="2"/>
        <v>15925</v>
      </c>
      <c r="C46" s="6">
        <v>14.3</v>
      </c>
      <c r="D46" s="6">
        <f t="shared" si="3"/>
        <v>2.6602595372658615</v>
      </c>
      <c r="E46" s="6">
        <v>117.447231582534</v>
      </c>
      <c r="F46" s="6">
        <v>2</v>
      </c>
    </row>
    <row r="47" spans="1:6" x14ac:dyDescent="0.25">
      <c r="A47" s="8">
        <v>41521</v>
      </c>
      <c r="B47" s="6">
        <f t="shared" si="2"/>
        <v>15952</v>
      </c>
      <c r="C47" s="6">
        <v>23</v>
      </c>
      <c r="D47" s="6">
        <f t="shared" si="3"/>
        <v>3.1354942159291497</v>
      </c>
      <c r="E47" s="6">
        <v>117.53659176830701</v>
      </c>
      <c r="F47" s="6">
        <v>2</v>
      </c>
    </row>
    <row r="48" spans="1:6" x14ac:dyDescent="0.25">
      <c r="A48" s="8">
        <v>41562</v>
      </c>
      <c r="B48" s="6">
        <f t="shared" si="2"/>
        <v>15993</v>
      </c>
      <c r="C48" s="6">
        <v>33</v>
      </c>
      <c r="D48" s="6">
        <f t="shared" si="3"/>
        <v>3.4965075614664802</v>
      </c>
      <c r="E48" s="6">
        <v>116.65276731856</v>
      </c>
      <c r="F48" s="6">
        <v>2</v>
      </c>
    </row>
    <row r="49" spans="1:6" x14ac:dyDescent="0.25">
      <c r="A49" s="8">
        <v>41585</v>
      </c>
      <c r="B49" s="6">
        <f t="shared" si="2"/>
        <v>16016</v>
      </c>
      <c r="C49" s="6">
        <v>26</v>
      </c>
      <c r="D49" s="6">
        <f t="shared" si="3"/>
        <v>3.2580965380214821</v>
      </c>
      <c r="E49" s="6">
        <v>116.478438753433</v>
      </c>
      <c r="F49" s="6">
        <v>2</v>
      </c>
    </row>
    <row r="50" spans="1:6" x14ac:dyDescent="0.25">
      <c r="A50" s="8">
        <v>41624</v>
      </c>
      <c r="B50" s="6">
        <f t="shared" si="2"/>
        <v>16055</v>
      </c>
      <c r="C50" s="6">
        <v>20</v>
      </c>
      <c r="D50" s="6">
        <f t="shared" si="3"/>
        <v>2.9957322735539909</v>
      </c>
      <c r="E50" s="6">
        <v>116.87084649800001</v>
      </c>
      <c r="F50" s="6">
        <v>2</v>
      </c>
    </row>
    <row r="51" spans="1:6" x14ac:dyDescent="0.25">
      <c r="A51" s="8">
        <v>41641</v>
      </c>
      <c r="B51" s="6">
        <f t="shared" si="2"/>
        <v>16072</v>
      </c>
      <c r="C51" s="6">
        <v>19</v>
      </c>
      <c r="D51" s="6">
        <f t="shared" si="3"/>
        <v>2.9444389791664403</v>
      </c>
      <c r="E51" s="6">
        <v>116.604976547109</v>
      </c>
      <c r="F51" s="6">
        <v>2</v>
      </c>
    </row>
    <row r="52" spans="1:6" x14ac:dyDescent="0.25">
      <c r="A52" s="8">
        <v>41690</v>
      </c>
      <c r="B52" s="6">
        <f t="shared" si="2"/>
        <v>16121</v>
      </c>
      <c r="C52" s="6">
        <v>23</v>
      </c>
      <c r="D52" s="6">
        <f t="shared" si="3"/>
        <v>3.1354942159291497</v>
      </c>
      <c r="E52" s="6">
        <v>116.656763823467</v>
      </c>
      <c r="F52" s="6">
        <v>2</v>
      </c>
    </row>
    <row r="53" spans="1:6" x14ac:dyDescent="0.25">
      <c r="A53" s="8">
        <v>41702</v>
      </c>
      <c r="B53" s="6">
        <f t="shared" si="2"/>
        <v>16133</v>
      </c>
      <c r="C53" s="6">
        <v>20</v>
      </c>
      <c r="D53" s="6">
        <f t="shared" si="3"/>
        <v>2.9957322735539909</v>
      </c>
      <c r="E53" s="6">
        <v>116.343129150183</v>
      </c>
      <c r="F53" s="6">
        <v>2</v>
      </c>
    </row>
    <row r="54" spans="1:6" x14ac:dyDescent="0.25">
      <c r="A54" s="8">
        <v>41730</v>
      </c>
      <c r="B54" s="6">
        <f t="shared" si="2"/>
        <v>16161</v>
      </c>
      <c r="C54" s="6">
        <v>15</v>
      </c>
      <c r="D54" s="6">
        <f t="shared" si="3"/>
        <v>2.7080502011022101</v>
      </c>
      <c r="E54" s="6">
        <v>117.121547462311</v>
      </c>
      <c r="F54" s="6">
        <v>2</v>
      </c>
    </row>
    <row r="55" spans="1:6" x14ac:dyDescent="0.25">
      <c r="A55" s="8">
        <v>41765</v>
      </c>
      <c r="B55" s="6">
        <f t="shared" si="2"/>
        <v>16196</v>
      </c>
      <c r="C55" s="6">
        <v>13</v>
      </c>
      <c r="D55" s="6">
        <f t="shared" si="3"/>
        <v>2.5649493574615367</v>
      </c>
      <c r="E55" s="6">
        <v>117.573647237841</v>
      </c>
      <c r="F55" s="6">
        <v>2</v>
      </c>
    </row>
    <row r="56" spans="1:6" x14ac:dyDescent="0.25">
      <c r="A56" s="8">
        <v>41802</v>
      </c>
      <c r="B56" s="6">
        <f t="shared" si="2"/>
        <v>16233</v>
      </c>
      <c r="C56" s="6">
        <v>10</v>
      </c>
      <c r="D56" s="6">
        <f t="shared" si="3"/>
        <v>2.3025850929940459</v>
      </c>
      <c r="E56" s="6">
        <v>118.61561564557201</v>
      </c>
      <c r="F56" s="6">
        <v>2</v>
      </c>
    </row>
    <row r="57" spans="1:6" x14ac:dyDescent="0.25">
      <c r="A57" s="8">
        <v>41822</v>
      </c>
      <c r="B57" s="6">
        <f t="shared" si="2"/>
        <v>16253</v>
      </c>
      <c r="C57" s="6">
        <v>9</v>
      </c>
      <c r="D57" s="6">
        <f t="shared" si="3"/>
        <v>2.1972245773362196</v>
      </c>
      <c r="E57" s="6">
        <v>118.121451318596</v>
      </c>
      <c r="F57" s="6">
        <v>2</v>
      </c>
    </row>
    <row r="58" spans="1:6" x14ac:dyDescent="0.25">
      <c r="A58" s="8">
        <v>41857</v>
      </c>
      <c r="B58" s="6">
        <f t="shared" si="2"/>
        <v>16288</v>
      </c>
      <c r="C58" s="6">
        <v>16</v>
      </c>
      <c r="D58" s="6">
        <f t="shared" si="3"/>
        <v>2.7725887222397811</v>
      </c>
      <c r="E58" s="6">
        <v>118.802180503207</v>
      </c>
      <c r="F58" s="6">
        <v>2</v>
      </c>
    </row>
    <row r="59" spans="1:6" x14ac:dyDescent="0.25">
      <c r="A59" s="8">
        <v>41892</v>
      </c>
      <c r="B59" s="6">
        <f t="shared" si="2"/>
        <v>16323</v>
      </c>
      <c r="C59" s="6">
        <v>16</v>
      </c>
      <c r="D59" s="6">
        <f t="shared" si="3"/>
        <v>2.7725887222397811</v>
      </c>
      <c r="E59" s="6">
        <v>117.718576434932</v>
      </c>
      <c r="F59" s="6">
        <v>2</v>
      </c>
    </row>
    <row r="60" spans="1:6" x14ac:dyDescent="0.25">
      <c r="A60" s="8">
        <v>41914</v>
      </c>
      <c r="B60" s="6">
        <f t="shared" si="2"/>
        <v>16345</v>
      </c>
      <c r="C60" s="6">
        <v>15</v>
      </c>
      <c r="D60" s="6">
        <f t="shared" si="3"/>
        <v>2.7080502011022101</v>
      </c>
      <c r="E60" s="6">
        <v>116.030077930966</v>
      </c>
      <c r="F60" s="6">
        <v>2</v>
      </c>
    </row>
    <row r="61" spans="1:6" x14ac:dyDescent="0.25">
      <c r="A61" s="8">
        <v>41963</v>
      </c>
      <c r="B61" s="6">
        <f t="shared" si="2"/>
        <v>16394</v>
      </c>
      <c r="C61" s="6">
        <v>8</v>
      </c>
      <c r="D61" s="6">
        <f t="shared" si="3"/>
        <v>2.0794415416798357</v>
      </c>
      <c r="E61" s="6">
        <v>116.143270719646</v>
      </c>
      <c r="F61" s="6">
        <v>2</v>
      </c>
    </row>
    <row r="62" spans="1:6" x14ac:dyDescent="0.25">
      <c r="A62" s="8">
        <v>41975</v>
      </c>
      <c r="B62" s="6">
        <f t="shared" si="2"/>
        <v>16406</v>
      </c>
      <c r="C62" s="6">
        <v>7</v>
      </c>
      <c r="D62" s="6">
        <f t="shared" si="3"/>
        <v>1.9459101490553132</v>
      </c>
      <c r="E62" s="6">
        <v>117.29937525768899</v>
      </c>
      <c r="F62" s="6">
        <v>2</v>
      </c>
    </row>
    <row r="63" spans="1:6" x14ac:dyDescent="0.25">
      <c r="A63" s="8">
        <v>42012</v>
      </c>
      <c r="B63" s="6">
        <f t="shared" si="2"/>
        <v>16443</v>
      </c>
      <c r="C63" s="6">
        <v>7</v>
      </c>
      <c r="D63" s="6">
        <f t="shared" si="3"/>
        <v>1.9459101490553132</v>
      </c>
      <c r="E63" s="6">
        <v>116.779068051699</v>
      </c>
      <c r="F63" s="6">
        <v>2</v>
      </c>
    </row>
    <row r="64" spans="1:6" x14ac:dyDescent="0.25">
      <c r="A64" s="8">
        <v>42038</v>
      </c>
      <c r="B64" s="6">
        <f t="shared" si="2"/>
        <v>16469</v>
      </c>
      <c r="C64" s="6">
        <v>8</v>
      </c>
      <c r="D64" s="6">
        <f t="shared" si="3"/>
        <v>2.0794415416798357</v>
      </c>
      <c r="E64" s="6">
        <v>117.50152148276599</v>
      </c>
      <c r="F64" s="6">
        <v>2</v>
      </c>
    </row>
    <row r="65" spans="1:6" x14ac:dyDescent="0.25">
      <c r="A65" s="8">
        <v>42073</v>
      </c>
      <c r="B65" s="6">
        <f t="shared" si="2"/>
        <v>16504</v>
      </c>
      <c r="C65" s="6">
        <v>5</v>
      </c>
      <c r="D65" s="6">
        <f t="shared" si="3"/>
        <v>1.6094379124341003</v>
      </c>
      <c r="E65" s="6">
        <v>117.733618184691</v>
      </c>
      <c r="F65" s="6">
        <v>2</v>
      </c>
    </row>
    <row r="66" spans="1:6" x14ac:dyDescent="0.25">
      <c r="A66" s="8">
        <v>42103</v>
      </c>
      <c r="B66" s="6">
        <f t="shared" si="2"/>
        <v>16534</v>
      </c>
      <c r="C66" s="6">
        <v>5</v>
      </c>
      <c r="D66" s="6">
        <f t="shared" si="3"/>
        <v>1.6094379124341003</v>
      </c>
      <c r="E66" s="6">
        <v>117.75865386400601</v>
      </c>
      <c r="F66" s="6">
        <v>2</v>
      </c>
    </row>
    <row r="67" spans="1:6" x14ac:dyDescent="0.25">
      <c r="A67" s="8">
        <v>42137</v>
      </c>
      <c r="B67" s="6">
        <f t="shared" ref="B67:B98" si="4">A67-DATE(1970,1,1)</f>
        <v>16568</v>
      </c>
      <c r="C67" s="6">
        <v>2</v>
      </c>
      <c r="D67" s="6">
        <f t="shared" ref="D67:D98" si="5">LN(C67)</f>
        <v>0.69314718055994529</v>
      </c>
      <c r="E67" s="6">
        <v>117.39129023564099</v>
      </c>
      <c r="F67" s="6">
        <v>2</v>
      </c>
    </row>
    <row r="68" spans="1:6" x14ac:dyDescent="0.25">
      <c r="A68" s="8">
        <v>42164</v>
      </c>
      <c r="B68" s="6">
        <f t="shared" si="4"/>
        <v>16595</v>
      </c>
      <c r="C68" s="6">
        <v>3</v>
      </c>
      <c r="D68" s="6">
        <f t="shared" si="5"/>
        <v>1.0986122886681098</v>
      </c>
      <c r="E68" s="6">
        <v>117.63302440900399</v>
      </c>
      <c r="F68" s="6">
        <v>2</v>
      </c>
    </row>
    <row r="69" spans="1:6" x14ac:dyDescent="0.25">
      <c r="A69" s="8">
        <v>42213</v>
      </c>
      <c r="B69" s="6">
        <f t="shared" si="4"/>
        <v>16644</v>
      </c>
      <c r="C69" s="6">
        <v>8</v>
      </c>
      <c r="D69" s="6">
        <f t="shared" si="5"/>
        <v>2.0794415416798357</v>
      </c>
      <c r="E69" s="6">
        <v>117.81194948007099</v>
      </c>
      <c r="F69" s="6">
        <v>3</v>
      </c>
    </row>
    <row r="70" spans="1:6" x14ac:dyDescent="0.25">
      <c r="A70" s="8">
        <v>42219</v>
      </c>
      <c r="B70" s="6">
        <f t="shared" si="4"/>
        <v>16650</v>
      </c>
      <c r="C70" s="6">
        <v>7</v>
      </c>
      <c r="D70" s="6">
        <f t="shared" si="5"/>
        <v>1.9459101490553132</v>
      </c>
      <c r="E70" s="6">
        <v>116.715473141774</v>
      </c>
      <c r="F70" s="6">
        <v>3</v>
      </c>
    </row>
    <row r="71" spans="1:6" x14ac:dyDescent="0.25">
      <c r="A71" s="8">
        <v>42268</v>
      </c>
      <c r="B71" s="6">
        <f t="shared" si="4"/>
        <v>16699</v>
      </c>
      <c r="C71" s="6">
        <v>5</v>
      </c>
      <c r="D71" s="6">
        <f t="shared" si="5"/>
        <v>1.6094379124341003</v>
      </c>
      <c r="E71" s="6">
        <v>116.926014508484</v>
      </c>
      <c r="F71" s="6">
        <v>3</v>
      </c>
    </row>
    <row r="72" spans="1:6" x14ac:dyDescent="0.25">
      <c r="A72" s="8">
        <v>42297</v>
      </c>
      <c r="B72" s="6">
        <f t="shared" si="4"/>
        <v>16728</v>
      </c>
      <c r="C72" s="6">
        <v>11</v>
      </c>
      <c r="D72" s="6">
        <f t="shared" si="5"/>
        <v>2.3978952727983707</v>
      </c>
      <c r="E72" s="6">
        <v>116.06441041553499</v>
      </c>
      <c r="F72" s="6">
        <v>3</v>
      </c>
    </row>
    <row r="73" spans="1:6" x14ac:dyDescent="0.25">
      <c r="A73" s="8">
        <v>42326</v>
      </c>
      <c r="B73" s="6">
        <f t="shared" si="4"/>
        <v>16757</v>
      </c>
      <c r="C73" s="6">
        <v>1</v>
      </c>
      <c r="D73" s="6">
        <f t="shared" si="5"/>
        <v>0</v>
      </c>
      <c r="E73" s="6">
        <v>116.108224767518</v>
      </c>
      <c r="F73" s="6">
        <v>3</v>
      </c>
    </row>
    <row r="74" spans="1:6" x14ac:dyDescent="0.25">
      <c r="A74" s="8">
        <v>42359</v>
      </c>
      <c r="B74" s="6">
        <f t="shared" si="4"/>
        <v>16790</v>
      </c>
      <c r="C74" s="6">
        <v>8</v>
      </c>
      <c r="D74" s="6">
        <f t="shared" si="5"/>
        <v>2.0794415416798357</v>
      </c>
      <c r="E74" s="6">
        <v>117.058161708066</v>
      </c>
      <c r="F74" s="6">
        <v>3</v>
      </c>
    </row>
    <row r="75" spans="1:6" x14ac:dyDescent="0.25">
      <c r="A75" s="8">
        <v>42373</v>
      </c>
      <c r="B75" s="6">
        <f t="shared" si="4"/>
        <v>16804</v>
      </c>
      <c r="C75" s="6">
        <v>6</v>
      </c>
      <c r="D75" s="6">
        <f t="shared" si="5"/>
        <v>1.791759469228055</v>
      </c>
      <c r="E75" s="6">
        <v>117.23284149518901</v>
      </c>
      <c r="F75" s="6">
        <v>3</v>
      </c>
    </row>
    <row r="76" spans="1:6" x14ac:dyDescent="0.25">
      <c r="A76" s="8">
        <v>42403</v>
      </c>
      <c r="B76" s="6">
        <f t="shared" si="4"/>
        <v>16834</v>
      </c>
      <c r="C76" s="6">
        <v>8</v>
      </c>
      <c r="D76" s="6">
        <f t="shared" si="5"/>
        <v>2.0794415416798357</v>
      </c>
      <c r="E76" s="6">
        <v>117.427671122516</v>
      </c>
      <c r="F76" s="6">
        <v>3</v>
      </c>
    </row>
    <row r="77" spans="1:6" x14ac:dyDescent="0.25">
      <c r="A77" s="8">
        <v>42436</v>
      </c>
      <c r="B77" s="6">
        <f t="shared" si="4"/>
        <v>16867</v>
      </c>
      <c r="C77" s="6">
        <v>10</v>
      </c>
      <c r="D77" s="6">
        <f t="shared" si="5"/>
        <v>2.3025850929940459</v>
      </c>
      <c r="E77" s="6">
        <v>117.51776556588599</v>
      </c>
      <c r="F77" s="6">
        <v>3</v>
      </c>
    </row>
    <row r="78" spans="1:6" x14ac:dyDescent="0.25">
      <c r="A78" s="8">
        <v>42478</v>
      </c>
      <c r="B78" s="6">
        <f t="shared" si="4"/>
        <v>16909</v>
      </c>
      <c r="C78" s="6">
        <v>2</v>
      </c>
      <c r="D78" s="6">
        <f t="shared" si="5"/>
        <v>0.69314718055994529</v>
      </c>
      <c r="E78" s="6">
        <v>116.94009292533499</v>
      </c>
      <c r="F78" s="6">
        <v>3</v>
      </c>
    </row>
    <row r="79" spans="1:6" x14ac:dyDescent="0.25">
      <c r="A79" s="8">
        <v>42534</v>
      </c>
      <c r="B79" s="6">
        <f t="shared" si="4"/>
        <v>16965</v>
      </c>
      <c r="C79" s="6">
        <v>5</v>
      </c>
      <c r="D79" s="6">
        <f t="shared" si="5"/>
        <v>1.6094379124341003</v>
      </c>
      <c r="E79" s="6">
        <v>118.824358888753</v>
      </c>
      <c r="F79" s="6">
        <v>3</v>
      </c>
    </row>
    <row r="80" spans="1:6" x14ac:dyDescent="0.25">
      <c r="A80" s="8">
        <v>42556</v>
      </c>
      <c r="B80" s="6">
        <f t="shared" si="4"/>
        <v>16987</v>
      </c>
      <c r="C80" s="6">
        <v>7</v>
      </c>
      <c r="D80" s="6">
        <f t="shared" si="5"/>
        <v>1.9459101490553132</v>
      </c>
      <c r="E80" s="6">
        <v>117.599752499773</v>
      </c>
      <c r="F80" s="6">
        <v>3</v>
      </c>
    </row>
    <row r="81" spans="1:6" x14ac:dyDescent="0.25">
      <c r="A81" s="8">
        <v>42585</v>
      </c>
      <c r="B81" s="6">
        <f t="shared" si="4"/>
        <v>17016</v>
      </c>
      <c r="C81" s="6">
        <v>1</v>
      </c>
      <c r="D81" s="6">
        <f t="shared" si="5"/>
        <v>0</v>
      </c>
      <c r="E81" s="6">
        <v>117.51869237282</v>
      </c>
      <c r="F81" s="6">
        <v>3</v>
      </c>
    </row>
    <row r="82" spans="1:6" x14ac:dyDescent="0.25">
      <c r="A82" s="8">
        <v>42599</v>
      </c>
      <c r="B82" s="6">
        <f t="shared" si="4"/>
        <v>17030</v>
      </c>
      <c r="C82" s="6">
        <v>7.05</v>
      </c>
      <c r="D82" s="6">
        <f t="shared" si="5"/>
        <v>1.9530276168241774</v>
      </c>
      <c r="E82" s="6">
        <v>116.312992549104</v>
      </c>
      <c r="F82" s="6">
        <v>3</v>
      </c>
    </row>
    <row r="83" spans="1:6" x14ac:dyDescent="0.25">
      <c r="A83" s="8">
        <v>42684</v>
      </c>
      <c r="B83" s="6">
        <f t="shared" si="4"/>
        <v>17115</v>
      </c>
      <c r="C83" s="6">
        <v>8.3000000000000007</v>
      </c>
      <c r="D83" s="6">
        <f t="shared" si="5"/>
        <v>2.1162555148025524</v>
      </c>
      <c r="E83" s="6">
        <v>116.694145746782</v>
      </c>
      <c r="F83" s="6">
        <v>3</v>
      </c>
    </row>
    <row r="84" spans="1:6" x14ac:dyDescent="0.25">
      <c r="A84" s="8">
        <v>42723</v>
      </c>
      <c r="B84" s="6">
        <f t="shared" si="4"/>
        <v>17154</v>
      </c>
      <c r="C84" s="6">
        <v>1</v>
      </c>
      <c r="D84" s="6">
        <f t="shared" si="5"/>
        <v>0</v>
      </c>
      <c r="E84" s="6">
        <v>116.784943290774</v>
      </c>
      <c r="F84" s="6">
        <v>3</v>
      </c>
    </row>
    <row r="85" spans="1:6" x14ac:dyDescent="0.25">
      <c r="A85" s="8">
        <v>42752</v>
      </c>
      <c r="B85" s="6">
        <f t="shared" si="4"/>
        <v>17183</v>
      </c>
      <c r="C85" s="6">
        <v>7</v>
      </c>
      <c r="D85" s="6">
        <f t="shared" si="5"/>
        <v>1.9459101490553132</v>
      </c>
      <c r="E85" s="6">
        <v>116.727700372435</v>
      </c>
      <c r="F85" s="6">
        <v>3</v>
      </c>
    </row>
    <row r="86" spans="1:6" x14ac:dyDescent="0.25">
      <c r="A86" s="8">
        <v>42795</v>
      </c>
      <c r="B86" s="6">
        <f t="shared" si="4"/>
        <v>17226</v>
      </c>
      <c r="C86" s="6">
        <v>6.6</v>
      </c>
      <c r="D86" s="6">
        <f t="shared" si="5"/>
        <v>1.8870696490323797</v>
      </c>
      <c r="E86" s="6">
        <v>117.213479577943</v>
      </c>
      <c r="F86" s="6">
        <v>3</v>
      </c>
    </row>
    <row r="87" spans="1:6" x14ac:dyDescent="0.25">
      <c r="A87" s="8">
        <v>42822</v>
      </c>
      <c r="B87" s="6">
        <f t="shared" si="4"/>
        <v>17253</v>
      </c>
      <c r="C87" s="6">
        <v>7</v>
      </c>
      <c r="D87" s="6">
        <f t="shared" si="5"/>
        <v>1.9459101490553132</v>
      </c>
      <c r="E87" s="6">
        <v>117.640364127791</v>
      </c>
      <c r="F87" s="6">
        <v>3</v>
      </c>
    </row>
    <row r="88" spans="1:6" x14ac:dyDescent="0.25">
      <c r="A88" s="8">
        <v>42850</v>
      </c>
      <c r="B88" s="6">
        <f t="shared" si="4"/>
        <v>17281</v>
      </c>
      <c r="C88" s="6">
        <v>1</v>
      </c>
      <c r="D88" s="6">
        <f t="shared" si="5"/>
        <v>0</v>
      </c>
      <c r="E88" s="6">
        <v>117.87382034122901</v>
      </c>
      <c r="F88" s="6">
        <v>3</v>
      </c>
    </row>
    <row r="89" spans="1:6" x14ac:dyDescent="0.25">
      <c r="A89" s="8">
        <v>42856</v>
      </c>
      <c r="B89" s="6">
        <f t="shared" si="4"/>
        <v>17287</v>
      </c>
      <c r="C89" s="6">
        <v>6</v>
      </c>
      <c r="D89" s="6">
        <f t="shared" si="5"/>
        <v>1.791759469228055</v>
      </c>
      <c r="E89" s="6">
        <v>117.25547609975</v>
      </c>
      <c r="F89" s="6">
        <v>3</v>
      </c>
    </row>
    <row r="90" spans="1:6" x14ac:dyDescent="0.25">
      <c r="A90" s="8">
        <v>42892</v>
      </c>
      <c r="B90" s="6">
        <f t="shared" si="4"/>
        <v>17323</v>
      </c>
      <c r="C90" s="6">
        <v>3.75</v>
      </c>
      <c r="D90" s="6">
        <f t="shared" si="5"/>
        <v>1.3217558399823195</v>
      </c>
      <c r="E90" s="6">
        <v>119.06995566916299</v>
      </c>
      <c r="F90" s="6">
        <v>3</v>
      </c>
    </row>
    <row r="91" spans="1:6" x14ac:dyDescent="0.25">
      <c r="A91" s="8">
        <v>42905</v>
      </c>
      <c r="B91" s="6">
        <f t="shared" si="4"/>
        <v>17336</v>
      </c>
      <c r="C91" s="6">
        <v>3</v>
      </c>
      <c r="D91" s="6">
        <f t="shared" si="5"/>
        <v>1.0986122886681098</v>
      </c>
      <c r="E91" s="6">
        <v>118.52206073325399</v>
      </c>
      <c r="F91" s="6">
        <v>3</v>
      </c>
    </row>
    <row r="92" spans="1:6" x14ac:dyDescent="0.25">
      <c r="A92" s="8">
        <v>42929</v>
      </c>
      <c r="B92" s="6">
        <f t="shared" si="4"/>
        <v>17360</v>
      </c>
      <c r="C92" s="6">
        <v>5</v>
      </c>
      <c r="D92" s="6">
        <f t="shared" si="5"/>
        <v>1.6094379124341003</v>
      </c>
      <c r="E92" s="6">
        <v>118.64345932898701</v>
      </c>
      <c r="F92" s="6">
        <v>3</v>
      </c>
    </row>
    <row r="93" spans="1:6" x14ac:dyDescent="0.25">
      <c r="A93" s="8">
        <v>42954</v>
      </c>
      <c r="B93" s="6">
        <f t="shared" si="4"/>
        <v>17385</v>
      </c>
      <c r="C93" s="6">
        <v>5</v>
      </c>
      <c r="D93" s="6">
        <f t="shared" si="5"/>
        <v>1.6094379124341003</v>
      </c>
      <c r="E93" s="6">
        <v>119.219325454958</v>
      </c>
      <c r="F93" s="6">
        <v>3</v>
      </c>
    </row>
    <row r="94" spans="1:6" x14ac:dyDescent="0.25">
      <c r="A94" s="8">
        <v>42962</v>
      </c>
      <c r="B94" s="6">
        <f t="shared" si="4"/>
        <v>17393</v>
      </c>
      <c r="C94" s="6">
        <v>7.1</v>
      </c>
      <c r="D94" s="6">
        <f t="shared" si="5"/>
        <v>1.9600947840472698</v>
      </c>
      <c r="E94" s="6">
        <v>118.88340600735999</v>
      </c>
      <c r="F94" s="6">
        <v>3</v>
      </c>
    </row>
    <row r="95" spans="1:6" x14ac:dyDescent="0.25">
      <c r="A95" s="8">
        <v>42989</v>
      </c>
      <c r="B95" s="6">
        <f t="shared" si="4"/>
        <v>17420</v>
      </c>
      <c r="C95" s="6">
        <v>12</v>
      </c>
      <c r="D95" s="6">
        <f t="shared" si="5"/>
        <v>2.4849066497880004</v>
      </c>
      <c r="E95" s="6">
        <v>117.973751731148</v>
      </c>
      <c r="F95" s="6">
        <v>3</v>
      </c>
    </row>
    <row r="96" spans="1:6" x14ac:dyDescent="0.25">
      <c r="A96" s="8">
        <v>43026</v>
      </c>
      <c r="B96" s="6">
        <f t="shared" si="4"/>
        <v>17457</v>
      </c>
      <c r="C96" s="6">
        <v>11</v>
      </c>
      <c r="D96" s="6">
        <f t="shared" si="5"/>
        <v>2.3978952727983707</v>
      </c>
      <c r="E96" s="6">
        <v>116.950862691989</v>
      </c>
      <c r="F96" s="6">
        <v>3</v>
      </c>
    </row>
    <row r="97" spans="1:6" x14ac:dyDescent="0.25">
      <c r="A97" s="8">
        <v>43047</v>
      </c>
      <c r="B97" s="6">
        <f t="shared" si="4"/>
        <v>17478</v>
      </c>
      <c r="C97" s="6">
        <v>10</v>
      </c>
      <c r="D97" s="6">
        <f t="shared" si="5"/>
        <v>2.3025850929940459</v>
      </c>
      <c r="E97" s="6">
        <v>116.78373623543899</v>
      </c>
      <c r="F97" s="6">
        <v>3</v>
      </c>
    </row>
    <row r="98" spans="1:6" x14ac:dyDescent="0.25">
      <c r="A98" s="8">
        <v>43054</v>
      </c>
      <c r="B98" s="6">
        <f t="shared" si="4"/>
        <v>17485</v>
      </c>
      <c r="C98" s="6">
        <v>8</v>
      </c>
      <c r="D98" s="6">
        <f t="shared" si="5"/>
        <v>2.0794415416798357</v>
      </c>
      <c r="E98" s="6">
        <v>117.028090406057</v>
      </c>
      <c r="F98" s="6">
        <v>3</v>
      </c>
    </row>
    <row r="99" spans="1:6" x14ac:dyDescent="0.25">
      <c r="A99" s="8">
        <v>43075</v>
      </c>
      <c r="B99" s="6">
        <f t="shared" ref="B99:B130" si="6">A99-DATE(1970,1,1)</f>
        <v>17506</v>
      </c>
      <c r="C99" s="6">
        <v>9</v>
      </c>
      <c r="D99" s="6">
        <f t="shared" ref="D99:D130" si="7">LN(C99)</f>
        <v>2.1972245773362196</v>
      </c>
      <c r="E99" s="6">
        <v>116.59290154422099</v>
      </c>
      <c r="F99" s="6">
        <v>3</v>
      </c>
    </row>
    <row r="100" spans="1:6" x14ac:dyDescent="0.25">
      <c r="A100" s="8">
        <v>43151</v>
      </c>
      <c r="B100" s="6">
        <f t="shared" si="6"/>
        <v>17582</v>
      </c>
      <c r="C100" s="6">
        <v>10</v>
      </c>
      <c r="D100" s="6">
        <f t="shared" si="7"/>
        <v>2.3025850929940459</v>
      </c>
      <c r="E100" s="6">
        <v>116.140692766879</v>
      </c>
      <c r="F100" s="6">
        <v>3</v>
      </c>
    </row>
    <row r="101" spans="1:6" x14ac:dyDescent="0.25">
      <c r="A101" s="8">
        <v>43173</v>
      </c>
      <c r="B101" s="6">
        <f t="shared" si="6"/>
        <v>17604</v>
      </c>
      <c r="C101" s="6">
        <v>10</v>
      </c>
      <c r="D101" s="6">
        <f t="shared" si="7"/>
        <v>2.3025850929940459</v>
      </c>
      <c r="E101" s="6">
        <v>116.750503531448</v>
      </c>
      <c r="F101" s="6">
        <v>3</v>
      </c>
    </row>
    <row r="102" spans="1:6" x14ac:dyDescent="0.25">
      <c r="A102" s="8">
        <v>43200</v>
      </c>
      <c r="B102" s="6">
        <f t="shared" si="6"/>
        <v>17631</v>
      </c>
      <c r="C102" s="6">
        <v>15</v>
      </c>
      <c r="D102" s="6">
        <f t="shared" si="7"/>
        <v>2.7080502011022101</v>
      </c>
      <c r="E102" s="6">
        <v>116.876234455537</v>
      </c>
      <c r="F102" s="6">
        <v>3</v>
      </c>
    </row>
    <row r="103" spans="1:6" x14ac:dyDescent="0.25">
      <c r="A103" s="8">
        <v>43234</v>
      </c>
      <c r="B103" s="6">
        <f t="shared" si="6"/>
        <v>17665</v>
      </c>
      <c r="C103" s="6">
        <v>1</v>
      </c>
      <c r="D103" s="6">
        <f t="shared" si="7"/>
        <v>0</v>
      </c>
      <c r="E103" s="6">
        <v>117.30908779809</v>
      </c>
      <c r="F103" s="6">
        <v>3</v>
      </c>
    </row>
    <row r="104" spans="1:6" x14ac:dyDescent="0.25">
      <c r="A104" s="8">
        <v>43271</v>
      </c>
      <c r="B104" s="6">
        <f t="shared" si="6"/>
        <v>17702</v>
      </c>
      <c r="C104" s="6">
        <v>6</v>
      </c>
      <c r="D104" s="6">
        <f t="shared" si="7"/>
        <v>1.791759469228055</v>
      </c>
      <c r="E104" s="6">
        <v>118.18392700342601</v>
      </c>
      <c r="F104" s="6">
        <v>3</v>
      </c>
    </row>
    <row r="105" spans="1:6" x14ac:dyDescent="0.25">
      <c r="A105" s="8">
        <v>43290</v>
      </c>
      <c r="B105" s="6">
        <f t="shared" si="6"/>
        <v>17721</v>
      </c>
      <c r="C105" s="6">
        <v>7</v>
      </c>
      <c r="D105" s="6">
        <f t="shared" si="7"/>
        <v>1.9459101490553132</v>
      </c>
      <c r="E105" s="6">
        <v>117.20630814138801</v>
      </c>
      <c r="F105" s="6">
        <v>3</v>
      </c>
    </row>
    <row r="106" spans="1:6" x14ac:dyDescent="0.25">
      <c r="A106" s="8">
        <v>43334</v>
      </c>
      <c r="B106" s="6">
        <f t="shared" si="6"/>
        <v>17765</v>
      </c>
      <c r="C106" s="6">
        <v>11</v>
      </c>
      <c r="D106" s="6">
        <f t="shared" si="7"/>
        <v>2.3978952727983707</v>
      </c>
      <c r="E106" s="6">
        <v>117.556523817423</v>
      </c>
      <c r="F106" s="6">
        <v>3</v>
      </c>
    </row>
    <row r="107" spans="1:6" x14ac:dyDescent="0.25">
      <c r="A107" s="8">
        <v>43368</v>
      </c>
      <c r="B107" s="6">
        <f t="shared" si="6"/>
        <v>17799</v>
      </c>
      <c r="C107" s="6">
        <v>6</v>
      </c>
      <c r="D107" s="6">
        <f t="shared" si="7"/>
        <v>1.791759469228055</v>
      </c>
      <c r="E107" s="6">
        <v>120.58907370438</v>
      </c>
      <c r="F107" s="6">
        <v>3</v>
      </c>
    </row>
    <row r="108" spans="1:6" x14ac:dyDescent="0.25">
      <c r="A108" s="8">
        <v>43432</v>
      </c>
      <c r="B108" s="6">
        <f t="shared" si="6"/>
        <v>17863</v>
      </c>
      <c r="C108" s="6">
        <v>11</v>
      </c>
      <c r="D108" s="6">
        <f t="shared" si="7"/>
        <v>2.3978952727983707</v>
      </c>
      <c r="E108" s="6">
        <v>117.901437973181</v>
      </c>
      <c r="F108" s="6">
        <v>3</v>
      </c>
    </row>
    <row r="109" spans="1:6" x14ac:dyDescent="0.25">
      <c r="A109" s="8">
        <v>43445</v>
      </c>
      <c r="B109" s="6">
        <f t="shared" si="6"/>
        <v>17876</v>
      </c>
      <c r="C109" s="6">
        <v>7</v>
      </c>
      <c r="D109" s="6">
        <f t="shared" si="7"/>
        <v>1.9459101490553132</v>
      </c>
      <c r="E109" s="6">
        <v>117.20830482322501</v>
      </c>
      <c r="F109" s="6">
        <v>3</v>
      </c>
    </row>
    <row r="110" spans="1:6" x14ac:dyDescent="0.25">
      <c r="A110" s="8">
        <v>43481</v>
      </c>
      <c r="B110" s="6">
        <f t="shared" si="6"/>
        <v>17912</v>
      </c>
      <c r="C110" s="6">
        <v>2</v>
      </c>
      <c r="D110" s="6">
        <f t="shared" si="7"/>
        <v>0.69314718055994529</v>
      </c>
      <c r="E110" s="6">
        <v>117.574850911007</v>
      </c>
      <c r="F110" s="6">
        <v>3</v>
      </c>
    </row>
    <row r="111" spans="1:6" x14ac:dyDescent="0.25">
      <c r="A111" s="8">
        <v>43502</v>
      </c>
      <c r="B111" s="6">
        <f t="shared" si="6"/>
        <v>17933</v>
      </c>
      <c r="C111" s="6">
        <v>7.6</v>
      </c>
      <c r="D111" s="6">
        <f t="shared" si="7"/>
        <v>2.0281482472922852</v>
      </c>
      <c r="E111" s="6">
        <v>116.85191038564901</v>
      </c>
      <c r="F111" s="6">
        <v>3</v>
      </c>
    </row>
    <row r="112" spans="1:6" x14ac:dyDescent="0.25">
      <c r="A112" s="8">
        <v>43503</v>
      </c>
      <c r="B112" s="6">
        <f t="shared" si="6"/>
        <v>17934</v>
      </c>
      <c r="C112" s="6">
        <v>4</v>
      </c>
      <c r="D112" s="6">
        <f t="shared" si="7"/>
        <v>1.3862943611198906</v>
      </c>
      <c r="E112" s="6">
        <v>116.485274698003</v>
      </c>
      <c r="F112" s="6">
        <v>3</v>
      </c>
    </row>
    <row r="113" spans="1:6" x14ac:dyDescent="0.25">
      <c r="A113" s="8">
        <v>43606</v>
      </c>
      <c r="B113" s="6">
        <f t="shared" si="6"/>
        <v>18037</v>
      </c>
      <c r="C113" s="6">
        <v>1</v>
      </c>
      <c r="D113" s="6">
        <f t="shared" si="7"/>
        <v>0</v>
      </c>
      <c r="E113" s="6">
        <v>117.29781901593699</v>
      </c>
      <c r="F113" s="6">
        <v>3</v>
      </c>
    </row>
    <row r="114" spans="1:6" x14ac:dyDescent="0.25">
      <c r="A114" s="8">
        <v>43608</v>
      </c>
      <c r="B114" s="6">
        <f t="shared" si="6"/>
        <v>18039</v>
      </c>
      <c r="C114" s="6">
        <v>7.49</v>
      </c>
      <c r="D114" s="6">
        <f t="shared" si="7"/>
        <v>2.0135687975291283</v>
      </c>
      <c r="E114" s="6">
        <v>116.656349710795</v>
      </c>
      <c r="F114" s="6">
        <v>3</v>
      </c>
    </row>
    <row r="115" spans="1:6" x14ac:dyDescent="0.25">
      <c r="A115" s="8">
        <v>43633</v>
      </c>
      <c r="B115" s="6">
        <f t="shared" si="6"/>
        <v>18064</v>
      </c>
      <c r="C115" s="6">
        <v>3</v>
      </c>
      <c r="D115" s="6">
        <f t="shared" si="7"/>
        <v>1.0986122886681098</v>
      </c>
      <c r="E115" s="6">
        <v>117.2778304065</v>
      </c>
      <c r="F115" s="6">
        <v>3</v>
      </c>
    </row>
    <row r="116" spans="1:6" x14ac:dyDescent="0.25">
      <c r="A116" s="8">
        <v>43657</v>
      </c>
      <c r="B116" s="6">
        <f t="shared" si="6"/>
        <v>18088</v>
      </c>
      <c r="C116" s="6">
        <v>11</v>
      </c>
      <c r="D116" s="6">
        <f t="shared" si="7"/>
        <v>2.3978952727983707</v>
      </c>
      <c r="E116" s="6">
        <v>116.986308867509</v>
      </c>
      <c r="F116" s="6">
        <v>3</v>
      </c>
    </row>
    <row r="117" spans="1:6" x14ac:dyDescent="0.25">
      <c r="A117" s="8">
        <v>43696</v>
      </c>
      <c r="B117" s="6">
        <f t="shared" si="6"/>
        <v>18127</v>
      </c>
      <c r="C117" s="6">
        <v>7</v>
      </c>
      <c r="D117" s="6">
        <f t="shared" si="7"/>
        <v>1.9459101490553132</v>
      </c>
      <c r="E117" s="6">
        <v>116.476411090312</v>
      </c>
      <c r="F117" s="6">
        <v>3</v>
      </c>
    </row>
    <row r="118" spans="1:6" x14ac:dyDescent="0.25">
      <c r="A118" s="8">
        <v>43717</v>
      </c>
      <c r="B118" s="6">
        <f t="shared" si="6"/>
        <v>18148</v>
      </c>
      <c r="C118" s="6">
        <v>10</v>
      </c>
      <c r="D118" s="6">
        <f t="shared" si="7"/>
        <v>2.3025850929940459</v>
      </c>
      <c r="E118" s="6">
        <v>118.235229264014</v>
      </c>
      <c r="F118" s="6">
        <v>3</v>
      </c>
    </row>
    <row r="119" spans="1:6" x14ac:dyDescent="0.25">
      <c r="A119" s="8">
        <v>43768</v>
      </c>
      <c r="B119" s="6">
        <f t="shared" si="6"/>
        <v>18199</v>
      </c>
      <c r="C119" s="6">
        <v>9.39</v>
      </c>
      <c r="D119" s="6">
        <f t="shared" si="7"/>
        <v>2.2396452932201716</v>
      </c>
      <c r="E119" s="6">
        <v>116.46775387953799</v>
      </c>
      <c r="F119" s="6">
        <v>3</v>
      </c>
    </row>
    <row r="120" spans="1:6" x14ac:dyDescent="0.25">
      <c r="A120" s="8">
        <v>43789</v>
      </c>
      <c r="B120" s="6">
        <f t="shared" si="6"/>
        <v>18220</v>
      </c>
      <c r="C120" s="6">
        <v>4</v>
      </c>
      <c r="D120" s="6">
        <f t="shared" si="7"/>
        <v>1.3862943611198906</v>
      </c>
      <c r="E120" s="6">
        <v>117.94518930686</v>
      </c>
      <c r="F120" s="6">
        <v>3</v>
      </c>
    </row>
    <row r="121" spans="1:6" x14ac:dyDescent="0.25">
      <c r="A121" s="8">
        <v>43790</v>
      </c>
      <c r="B121" s="6">
        <f t="shared" si="6"/>
        <v>18221</v>
      </c>
      <c r="C121" s="6">
        <v>5.26</v>
      </c>
      <c r="D121" s="6">
        <f t="shared" si="7"/>
        <v>1.6601310267496185</v>
      </c>
      <c r="E121" s="6">
        <v>116.356397189121</v>
      </c>
      <c r="F121" s="6">
        <v>3</v>
      </c>
    </row>
    <row r="122" spans="1:6" x14ac:dyDescent="0.25">
      <c r="A122" s="8">
        <v>43815</v>
      </c>
      <c r="B122" s="6">
        <f t="shared" si="6"/>
        <v>18246</v>
      </c>
      <c r="C122" s="6">
        <v>4</v>
      </c>
      <c r="D122" s="6">
        <f t="shared" si="7"/>
        <v>1.3862943611198906</v>
      </c>
      <c r="E122" s="6">
        <v>117.07027105605199</v>
      </c>
      <c r="F122" s="6">
        <v>3</v>
      </c>
    </row>
    <row r="123" spans="1:6" x14ac:dyDescent="0.25">
      <c r="A123" s="8">
        <v>43837</v>
      </c>
      <c r="B123" s="6">
        <f t="shared" si="6"/>
        <v>18268</v>
      </c>
      <c r="C123" s="6">
        <v>1</v>
      </c>
      <c r="D123" s="6">
        <f t="shared" si="7"/>
        <v>0</v>
      </c>
      <c r="E123" s="6">
        <v>116.814875948718</v>
      </c>
      <c r="F123" s="6">
        <v>3</v>
      </c>
    </row>
    <row r="124" spans="1:6" x14ac:dyDescent="0.25">
      <c r="A124" s="8">
        <v>43872</v>
      </c>
      <c r="B124" s="6">
        <f t="shared" si="6"/>
        <v>18303</v>
      </c>
      <c r="C124" s="6">
        <v>11</v>
      </c>
      <c r="D124" s="6">
        <f t="shared" si="7"/>
        <v>2.3978952727983707</v>
      </c>
      <c r="E124" s="6">
        <v>116.17423669490699</v>
      </c>
      <c r="F124" s="6">
        <v>3</v>
      </c>
    </row>
    <row r="125" spans="1:6" x14ac:dyDescent="0.25">
      <c r="A125" s="8">
        <v>43886</v>
      </c>
      <c r="B125" s="6">
        <f t="shared" si="6"/>
        <v>18317</v>
      </c>
      <c r="C125" s="6">
        <v>4.3499999999999996</v>
      </c>
      <c r="D125" s="6">
        <f t="shared" si="7"/>
        <v>1.4701758451005926</v>
      </c>
      <c r="E125" s="6">
        <v>116.264638581111</v>
      </c>
      <c r="F125" s="6">
        <v>3</v>
      </c>
    </row>
    <row r="126" spans="1:6" x14ac:dyDescent="0.25">
      <c r="A126" s="8">
        <v>44056</v>
      </c>
      <c r="B126" s="6">
        <f t="shared" si="6"/>
        <v>18487</v>
      </c>
      <c r="C126" s="6">
        <v>10</v>
      </c>
      <c r="D126" s="6">
        <f t="shared" si="7"/>
        <v>2.3025850929940459</v>
      </c>
      <c r="E126" s="6">
        <v>115.717652178067</v>
      </c>
      <c r="F126" s="6">
        <v>3</v>
      </c>
    </row>
    <row r="127" spans="1:6" x14ac:dyDescent="0.25">
      <c r="A127" s="8">
        <v>44074</v>
      </c>
      <c r="B127" s="6">
        <f t="shared" si="6"/>
        <v>18505</v>
      </c>
      <c r="C127" s="6">
        <v>6.38</v>
      </c>
      <c r="D127" s="6">
        <f t="shared" si="7"/>
        <v>1.8531680973566984</v>
      </c>
      <c r="E127" s="6">
        <v>116.501340008791</v>
      </c>
      <c r="F127" s="6">
        <v>3</v>
      </c>
    </row>
    <row r="128" spans="1:6" x14ac:dyDescent="0.25">
      <c r="A128" s="8">
        <v>44099</v>
      </c>
      <c r="B128" s="6">
        <f t="shared" si="6"/>
        <v>18530</v>
      </c>
      <c r="C128" s="6">
        <v>3</v>
      </c>
      <c r="D128" s="6">
        <f t="shared" si="7"/>
        <v>1.0986122886681098</v>
      </c>
      <c r="E128" s="6">
        <v>116.403402156971</v>
      </c>
      <c r="F128" s="6">
        <v>3</v>
      </c>
    </row>
    <row r="129" spans="1:6" x14ac:dyDescent="0.25">
      <c r="A129" s="8">
        <v>44125</v>
      </c>
      <c r="B129" s="6">
        <f t="shared" si="6"/>
        <v>18556</v>
      </c>
      <c r="C129" s="6">
        <v>4</v>
      </c>
      <c r="D129" s="6">
        <f t="shared" si="7"/>
        <v>1.3862943611198906</v>
      </c>
      <c r="E129" s="6">
        <v>116.83734586362201</v>
      </c>
      <c r="F129" s="6">
        <v>3</v>
      </c>
    </row>
    <row r="130" spans="1:6" x14ac:dyDescent="0.25">
      <c r="A130" s="8">
        <v>44152</v>
      </c>
      <c r="B130" s="6">
        <f t="shared" si="6"/>
        <v>18583</v>
      </c>
      <c r="C130" s="6">
        <v>2</v>
      </c>
      <c r="D130" s="6">
        <f t="shared" si="7"/>
        <v>0.69314718055994529</v>
      </c>
      <c r="E130" s="6">
        <v>116.40285304502601</v>
      </c>
      <c r="F130" s="6">
        <v>3</v>
      </c>
    </row>
    <row r="131" spans="1:6" x14ac:dyDescent="0.25">
      <c r="A131" s="8">
        <v>44221</v>
      </c>
      <c r="B131" s="6">
        <f t="shared" ref="B131:B162" si="8">A131-DATE(1970,1,1)</f>
        <v>18652</v>
      </c>
      <c r="C131" s="6">
        <v>1</v>
      </c>
      <c r="D131" s="6">
        <f t="shared" ref="D131:D162" si="9">LN(C131)</f>
        <v>0</v>
      </c>
      <c r="E131" s="6">
        <v>116.82720008525</v>
      </c>
      <c r="F131" s="6">
        <v>3</v>
      </c>
    </row>
    <row r="132" spans="1:6" x14ac:dyDescent="0.25">
      <c r="A132" s="8">
        <v>44236</v>
      </c>
      <c r="B132" s="6">
        <f t="shared" si="8"/>
        <v>18667</v>
      </c>
      <c r="C132" s="6">
        <v>5.82</v>
      </c>
      <c r="D132" s="6">
        <f t="shared" si="9"/>
        <v>1.7613002617433464</v>
      </c>
      <c r="E132" s="6">
        <v>117.941284734386</v>
      </c>
      <c r="F132" s="6">
        <v>3</v>
      </c>
    </row>
    <row r="133" spans="1:6" x14ac:dyDescent="0.25">
      <c r="A133" s="8">
        <v>44245</v>
      </c>
      <c r="B133" s="6">
        <f t="shared" si="8"/>
        <v>18676</v>
      </c>
      <c r="C133" s="6">
        <v>12</v>
      </c>
      <c r="D133" s="6">
        <f t="shared" si="9"/>
        <v>2.4849066497880004</v>
      </c>
      <c r="E133" s="6">
        <v>117.034318915791</v>
      </c>
      <c r="F133" s="6">
        <v>3</v>
      </c>
    </row>
    <row r="134" spans="1:6" x14ac:dyDescent="0.25">
      <c r="A134" s="8">
        <v>44273</v>
      </c>
      <c r="B134" s="6">
        <f t="shared" si="8"/>
        <v>18704</v>
      </c>
      <c r="C134" s="6">
        <v>1</v>
      </c>
      <c r="D134" s="6">
        <f t="shared" si="9"/>
        <v>0</v>
      </c>
      <c r="E134" s="6">
        <v>117.582123829238</v>
      </c>
      <c r="F134" s="6">
        <v>3</v>
      </c>
    </row>
    <row r="135" spans="1:6" x14ac:dyDescent="0.25">
      <c r="A135" s="8">
        <v>44333</v>
      </c>
      <c r="B135" s="6">
        <f t="shared" si="8"/>
        <v>18764</v>
      </c>
      <c r="C135" s="6">
        <v>4</v>
      </c>
      <c r="D135" s="6">
        <f t="shared" si="9"/>
        <v>1.3862943611198906</v>
      </c>
      <c r="E135" s="6">
        <v>117.487416488687</v>
      </c>
      <c r="F135" s="6">
        <v>3</v>
      </c>
    </row>
    <row r="136" spans="1:6" x14ac:dyDescent="0.25">
      <c r="A136" s="8">
        <v>44336</v>
      </c>
      <c r="B136" s="6">
        <f t="shared" si="8"/>
        <v>18767</v>
      </c>
      <c r="C136" s="6">
        <v>5.63</v>
      </c>
      <c r="D136" s="6">
        <f t="shared" si="9"/>
        <v>1.728109442151599</v>
      </c>
      <c r="E136" s="6">
        <v>117.330136457599</v>
      </c>
      <c r="F136" s="6">
        <v>3</v>
      </c>
    </row>
    <row r="137" spans="1:6" x14ac:dyDescent="0.25">
      <c r="A137" s="8">
        <v>44349</v>
      </c>
      <c r="B137" s="6">
        <f t="shared" si="8"/>
        <v>18780</v>
      </c>
      <c r="C137" s="6">
        <v>5</v>
      </c>
      <c r="D137" s="6">
        <f t="shared" si="9"/>
        <v>1.6094379124341003</v>
      </c>
      <c r="E137" s="6">
        <v>116.891661435397</v>
      </c>
      <c r="F137" s="6">
        <v>3</v>
      </c>
    </row>
    <row r="138" spans="1:6" x14ac:dyDescent="0.25">
      <c r="A138" s="8">
        <v>44397</v>
      </c>
      <c r="B138" s="6">
        <f t="shared" si="8"/>
        <v>18828</v>
      </c>
      <c r="C138" s="6">
        <v>4</v>
      </c>
      <c r="D138" s="6">
        <f t="shared" si="9"/>
        <v>1.3862943611198906</v>
      </c>
      <c r="E138" s="6">
        <v>116.667665071692</v>
      </c>
      <c r="F138" s="6">
        <v>3</v>
      </c>
    </row>
    <row r="139" spans="1:6" x14ac:dyDescent="0.25">
      <c r="A139" s="8">
        <v>44411</v>
      </c>
      <c r="B139" s="6">
        <f t="shared" si="8"/>
        <v>18842</v>
      </c>
      <c r="C139" s="6">
        <v>6.52</v>
      </c>
      <c r="D139" s="6">
        <f t="shared" si="9"/>
        <v>1.8748743759385615</v>
      </c>
      <c r="E139" s="6">
        <v>116.85765647138599</v>
      </c>
      <c r="F139" s="6">
        <v>3</v>
      </c>
    </row>
    <row r="140" spans="1:6" x14ac:dyDescent="0.25">
      <c r="A140" s="8">
        <v>44434</v>
      </c>
      <c r="B140" s="6">
        <f t="shared" si="8"/>
        <v>18865</v>
      </c>
      <c r="C140" s="6">
        <v>8</v>
      </c>
      <c r="D140" s="6">
        <f t="shared" si="9"/>
        <v>2.0794415416798357</v>
      </c>
      <c r="E140" s="6">
        <v>116.03824266572499</v>
      </c>
      <c r="F140" s="6">
        <v>3</v>
      </c>
    </row>
    <row r="141" spans="1:6" x14ac:dyDescent="0.25">
      <c r="A141" s="8">
        <v>44466</v>
      </c>
      <c r="B141" s="6">
        <f t="shared" si="8"/>
        <v>18897</v>
      </c>
      <c r="C141" s="6">
        <v>13</v>
      </c>
      <c r="D141" s="6">
        <f t="shared" si="9"/>
        <v>2.5649493574615367</v>
      </c>
      <c r="E141" s="6">
        <v>116.13462683831401</v>
      </c>
      <c r="F141" s="6">
        <v>3</v>
      </c>
    </row>
    <row r="142" spans="1:6" x14ac:dyDescent="0.25">
      <c r="A142" s="8">
        <v>44488</v>
      </c>
      <c r="B142" s="6">
        <f t="shared" si="8"/>
        <v>18919</v>
      </c>
      <c r="C142" s="6">
        <v>11.7</v>
      </c>
      <c r="D142" s="6">
        <f t="shared" si="9"/>
        <v>2.4595888418037104</v>
      </c>
      <c r="E142" s="6">
        <v>116.408024813723</v>
      </c>
      <c r="F142" s="6">
        <v>3</v>
      </c>
    </row>
    <row r="143" spans="1:6" x14ac:dyDescent="0.25">
      <c r="A143" s="8">
        <v>44496</v>
      </c>
      <c r="B143" s="6">
        <f t="shared" si="8"/>
        <v>18927</v>
      </c>
      <c r="C143" s="6">
        <v>16</v>
      </c>
      <c r="D143" s="6">
        <f t="shared" si="9"/>
        <v>2.7725887222397811</v>
      </c>
      <c r="E143" s="6">
        <v>117.069754253794</v>
      </c>
      <c r="F143" s="6">
        <v>3</v>
      </c>
    </row>
    <row r="144" spans="1:6" x14ac:dyDescent="0.25">
      <c r="A144" s="8">
        <v>44587</v>
      </c>
      <c r="B144" s="6">
        <f t="shared" si="8"/>
        <v>19018</v>
      </c>
      <c r="C144" s="6">
        <v>7</v>
      </c>
      <c r="D144" s="6">
        <f t="shared" si="9"/>
        <v>1.9459101490553132</v>
      </c>
      <c r="E144" s="6">
        <v>117.729900687285</v>
      </c>
      <c r="F144" s="6">
        <v>3</v>
      </c>
    </row>
    <row r="145" spans="1:6" x14ac:dyDescent="0.25">
      <c r="A145" s="8">
        <v>44607</v>
      </c>
      <c r="B145" s="6">
        <f t="shared" si="8"/>
        <v>19038</v>
      </c>
      <c r="C145" s="6">
        <v>5.0999999999999996</v>
      </c>
      <c r="D145" s="6">
        <f t="shared" si="9"/>
        <v>1.62924053973028</v>
      </c>
      <c r="E145" s="6">
        <v>116.092561353837</v>
      </c>
      <c r="F145" s="6">
        <v>3</v>
      </c>
    </row>
    <row r="146" spans="1:6" x14ac:dyDescent="0.25">
      <c r="A146" s="8">
        <v>44616</v>
      </c>
      <c r="B146" s="6">
        <f t="shared" si="8"/>
        <v>19047</v>
      </c>
      <c r="C146" s="6">
        <v>8</v>
      </c>
      <c r="D146" s="6">
        <f t="shared" si="9"/>
        <v>2.0794415416798357</v>
      </c>
      <c r="E146" s="6">
        <v>117.614127922885</v>
      </c>
      <c r="F146" s="6">
        <v>3</v>
      </c>
    </row>
    <row r="147" spans="1:6" x14ac:dyDescent="0.25">
      <c r="A147" s="8">
        <v>44648</v>
      </c>
      <c r="B147" s="6">
        <f t="shared" si="8"/>
        <v>19079</v>
      </c>
      <c r="C147" s="6">
        <v>7</v>
      </c>
      <c r="D147" s="6">
        <f t="shared" si="9"/>
        <v>1.9459101490553132</v>
      </c>
      <c r="E147" s="6">
        <v>117.76226383772401</v>
      </c>
      <c r="F147" s="6">
        <v>3</v>
      </c>
    </row>
    <row r="148" spans="1:6" x14ac:dyDescent="0.25">
      <c r="A148" s="8">
        <v>44657</v>
      </c>
      <c r="B148" s="6">
        <f t="shared" si="8"/>
        <v>19088</v>
      </c>
      <c r="C148" s="6">
        <v>9</v>
      </c>
      <c r="D148" s="6">
        <f t="shared" si="9"/>
        <v>2.1972245773362196</v>
      </c>
      <c r="E148" s="6">
        <v>116.429487718495</v>
      </c>
      <c r="F148" s="6">
        <v>3</v>
      </c>
    </row>
    <row r="149" spans="1:6" x14ac:dyDescent="0.25">
      <c r="A149" s="8">
        <v>44684</v>
      </c>
      <c r="B149" s="6">
        <f t="shared" si="8"/>
        <v>19115</v>
      </c>
      <c r="C149" s="6">
        <v>15</v>
      </c>
      <c r="D149" s="6">
        <f t="shared" si="9"/>
        <v>2.7080502011022101</v>
      </c>
      <c r="E149" s="6">
        <v>117.375860919533</v>
      </c>
      <c r="F149" s="6">
        <v>3</v>
      </c>
    </row>
    <row r="150" spans="1:6" x14ac:dyDescent="0.25">
      <c r="A150" s="8">
        <v>44719</v>
      </c>
      <c r="B150" s="6">
        <f t="shared" si="8"/>
        <v>19150</v>
      </c>
      <c r="C150" s="6">
        <v>3</v>
      </c>
      <c r="D150" s="6">
        <f t="shared" si="9"/>
        <v>1.0986122886681098</v>
      </c>
      <c r="E150" s="6">
        <v>117.55724952659099</v>
      </c>
      <c r="F150" s="6">
        <v>3</v>
      </c>
    </row>
    <row r="151" spans="1:6" x14ac:dyDescent="0.25">
      <c r="A151" s="8">
        <v>44761</v>
      </c>
      <c r="B151" s="6">
        <f t="shared" si="8"/>
        <v>19192</v>
      </c>
      <c r="C151" s="6">
        <v>5</v>
      </c>
      <c r="D151" s="6">
        <f t="shared" si="9"/>
        <v>1.6094379124341003</v>
      </c>
      <c r="E151" s="6">
        <v>118.07010610942601</v>
      </c>
      <c r="F151" s="6">
        <v>3</v>
      </c>
    </row>
    <row r="152" spans="1:6" x14ac:dyDescent="0.25">
      <c r="A152" s="8">
        <v>44777</v>
      </c>
      <c r="B152" s="6">
        <f t="shared" si="8"/>
        <v>19208</v>
      </c>
      <c r="C152" s="6">
        <v>1</v>
      </c>
      <c r="D152" s="6">
        <f t="shared" si="9"/>
        <v>0</v>
      </c>
      <c r="E152" s="6">
        <v>117.345020468372</v>
      </c>
      <c r="F152" s="6">
        <v>3</v>
      </c>
    </row>
    <row r="153" spans="1:6" x14ac:dyDescent="0.25">
      <c r="A153" s="8">
        <v>44817</v>
      </c>
      <c r="B153" s="6">
        <f t="shared" si="8"/>
        <v>19248</v>
      </c>
      <c r="C153" s="6">
        <v>8</v>
      </c>
      <c r="D153" s="6">
        <f t="shared" si="9"/>
        <v>2.0794415416798357</v>
      </c>
      <c r="E153" s="6">
        <v>117.246095645145</v>
      </c>
      <c r="F153" s="6">
        <v>3</v>
      </c>
    </row>
    <row r="154" spans="1:6" x14ac:dyDescent="0.25">
      <c r="A154" s="8">
        <v>44845</v>
      </c>
      <c r="B154" s="6">
        <f t="shared" si="8"/>
        <v>19276</v>
      </c>
      <c r="C154" s="6">
        <v>3</v>
      </c>
      <c r="D154" s="6">
        <f t="shared" si="9"/>
        <v>1.0986122886681098</v>
      </c>
      <c r="E154" s="6">
        <v>116.986379546525</v>
      </c>
      <c r="F154" s="6">
        <v>3</v>
      </c>
    </row>
    <row r="155" spans="1:6" x14ac:dyDescent="0.25">
      <c r="A155" s="8">
        <v>44858</v>
      </c>
      <c r="B155" s="6">
        <f t="shared" si="8"/>
        <v>19289</v>
      </c>
      <c r="C155" s="6">
        <v>9.4600000000000009</v>
      </c>
      <c r="D155" s="6">
        <f t="shared" si="9"/>
        <v>2.2470723830637871</v>
      </c>
      <c r="E155" s="6">
        <v>116.219847575511</v>
      </c>
      <c r="F155" s="6">
        <v>3</v>
      </c>
    </row>
    <row r="156" spans="1:6" x14ac:dyDescent="0.25">
      <c r="A156" s="8">
        <v>44874</v>
      </c>
      <c r="B156" s="6">
        <f t="shared" si="8"/>
        <v>19305</v>
      </c>
      <c r="C156" s="6">
        <v>10</v>
      </c>
      <c r="D156" s="6">
        <f t="shared" si="9"/>
        <v>2.3025850929940459</v>
      </c>
      <c r="E156" s="6">
        <v>116.44589802126001</v>
      </c>
      <c r="F156" s="6">
        <v>3</v>
      </c>
    </row>
    <row r="157" spans="1:6" x14ac:dyDescent="0.25">
      <c r="A157" s="8">
        <v>44908</v>
      </c>
      <c r="B157" s="6">
        <f t="shared" si="8"/>
        <v>19339</v>
      </c>
      <c r="C157" s="6">
        <v>27</v>
      </c>
      <c r="D157" s="6">
        <f t="shared" si="9"/>
        <v>3.2958368660043291</v>
      </c>
      <c r="E157" s="6">
        <v>116.01834948123999</v>
      </c>
      <c r="F157" s="6">
        <v>3</v>
      </c>
    </row>
    <row r="158" spans="1:6" x14ac:dyDescent="0.25">
      <c r="A158" s="8">
        <v>44950</v>
      </c>
      <c r="B158" s="6">
        <f t="shared" si="8"/>
        <v>19381</v>
      </c>
      <c r="C158" s="6">
        <v>10</v>
      </c>
      <c r="D158" s="6">
        <f t="shared" si="9"/>
        <v>2.3025850929940459</v>
      </c>
      <c r="E158" s="6">
        <v>116.00990538100299</v>
      </c>
      <c r="F158" s="6">
        <v>3</v>
      </c>
    </row>
    <row r="159" spans="1:6" x14ac:dyDescent="0.25">
      <c r="A159" s="8">
        <v>44964</v>
      </c>
      <c r="B159" s="6">
        <f t="shared" si="8"/>
        <v>19395</v>
      </c>
      <c r="C159" s="6">
        <v>8</v>
      </c>
      <c r="D159" s="6">
        <f t="shared" si="9"/>
        <v>2.0794415416798357</v>
      </c>
      <c r="E159" s="6">
        <v>118.20681980216401</v>
      </c>
      <c r="F159" s="6">
        <v>3</v>
      </c>
    </row>
    <row r="160" spans="1:6" x14ac:dyDescent="0.25">
      <c r="A160" s="8">
        <v>44998</v>
      </c>
      <c r="B160" s="6">
        <f t="shared" si="8"/>
        <v>19429</v>
      </c>
      <c r="C160" s="6">
        <v>18</v>
      </c>
      <c r="D160" s="6">
        <f t="shared" si="9"/>
        <v>2.8903717578961645</v>
      </c>
      <c r="E160" s="6">
        <v>117.602916572422</v>
      </c>
      <c r="F160" s="6">
        <v>3</v>
      </c>
    </row>
    <row r="161" spans="1:6" x14ac:dyDescent="0.25">
      <c r="A161" s="8">
        <v>45042</v>
      </c>
      <c r="B161" s="6">
        <f t="shared" si="8"/>
        <v>19473</v>
      </c>
      <c r="C161" s="6">
        <v>5</v>
      </c>
      <c r="D161" s="6">
        <f t="shared" si="9"/>
        <v>1.6094379124341003</v>
      </c>
      <c r="E161" s="6">
        <v>117.786165889888</v>
      </c>
      <c r="F161" s="6">
        <v>3</v>
      </c>
    </row>
    <row r="162" spans="1:6" x14ac:dyDescent="0.25">
      <c r="A162" s="8">
        <v>45068</v>
      </c>
      <c r="B162" s="6">
        <f t="shared" si="8"/>
        <v>19499</v>
      </c>
      <c r="C162" s="6">
        <v>13</v>
      </c>
      <c r="D162" s="6">
        <f t="shared" si="9"/>
        <v>2.5649493574615367</v>
      </c>
      <c r="E162" s="6">
        <v>116.67329788105801</v>
      </c>
      <c r="F162" s="6">
        <v>3</v>
      </c>
    </row>
    <row r="163" spans="1:6" x14ac:dyDescent="0.25">
      <c r="A163" s="8">
        <v>45084</v>
      </c>
      <c r="B163" s="6">
        <f t="shared" ref="B163:B183" si="10">A163-DATE(1970,1,1)</f>
        <v>19515</v>
      </c>
      <c r="C163" s="6">
        <v>6</v>
      </c>
      <c r="D163" s="6">
        <f t="shared" ref="D163:D183" si="11">LN(C163)</f>
        <v>1.791759469228055</v>
      </c>
      <c r="E163" s="6">
        <v>117.164560936355</v>
      </c>
      <c r="F163" s="6">
        <v>3</v>
      </c>
    </row>
    <row r="164" spans="1:6" x14ac:dyDescent="0.25">
      <c r="A164" s="8">
        <v>45126</v>
      </c>
      <c r="B164" s="6">
        <f t="shared" si="10"/>
        <v>19557</v>
      </c>
      <c r="C164" s="6">
        <v>5</v>
      </c>
      <c r="D164" s="6">
        <f t="shared" si="11"/>
        <v>1.6094379124341003</v>
      </c>
      <c r="E164" s="6">
        <v>116.764360277973</v>
      </c>
      <c r="F164" s="6">
        <v>3</v>
      </c>
    </row>
    <row r="165" spans="1:6" x14ac:dyDescent="0.25">
      <c r="A165" s="8">
        <v>45139</v>
      </c>
      <c r="B165" s="6">
        <f t="shared" si="10"/>
        <v>19570</v>
      </c>
      <c r="C165" s="6">
        <v>6</v>
      </c>
      <c r="D165" s="6">
        <f t="shared" si="11"/>
        <v>1.791759469228055</v>
      </c>
      <c r="E165" s="6">
        <v>118.59117718078799</v>
      </c>
      <c r="F165" s="6">
        <v>3</v>
      </c>
    </row>
    <row r="166" spans="1:6" x14ac:dyDescent="0.25">
      <c r="A166" s="8">
        <v>45183</v>
      </c>
      <c r="B166" s="6">
        <f t="shared" si="10"/>
        <v>19614</v>
      </c>
      <c r="C166" s="6">
        <v>7</v>
      </c>
      <c r="D166" s="6">
        <f t="shared" si="11"/>
        <v>1.9459101490553132</v>
      </c>
      <c r="E166" s="6">
        <v>118.356308329684</v>
      </c>
      <c r="F166" s="6">
        <v>3</v>
      </c>
    </row>
    <row r="167" spans="1:6" x14ac:dyDescent="0.25">
      <c r="A167" s="8">
        <v>45203</v>
      </c>
      <c r="B167" s="6">
        <f t="shared" si="10"/>
        <v>19634</v>
      </c>
      <c r="C167" s="6">
        <v>8</v>
      </c>
      <c r="D167" s="6">
        <f t="shared" si="11"/>
        <v>2.0794415416798357</v>
      </c>
      <c r="E167" s="6">
        <v>117.71959492608801</v>
      </c>
      <c r="F167" s="6">
        <v>3</v>
      </c>
    </row>
    <row r="168" spans="1:6" x14ac:dyDescent="0.25">
      <c r="A168" s="8">
        <v>45224</v>
      </c>
      <c r="B168" s="6">
        <f t="shared" si="10"/>
        <v>19655</v>
      </c>
      <c r="C168" s="6">
        <v>6.06</v>
      </c>
      <c r="D168" s="6">
        <f t="shared" si="11"/>
        <v>1.8017098000812231</v>
      </c>
      <c r="E168" s="6">
        <v>116.86406336850401</v>
      </c>
      <c r="F168" s="6">
        <v>3</v>
      </c>
    </row>
    <row r="169" spans="1:6" x14ac:dyDescent="0.25">
      <c r="A169" s="8">
        <v>45243</v>
      </c>
      <c r="B169" s="6">
        <f t="shared" si="10"/>
        <v>19674</v>
      </c>
      <c r="C169" s="6">
        <v>13</v>
      </c>
      <c r="D169" s="6">
        <f t="shared" si="11"/>
        <v>2.5649493574615367</v>
      </c>
      <c r="E169" s="6">
        <v>116.80876381930899</v>
      </c>
      <c r="F169" s="6">
        <v>3</v>
      </c>
    </row>
    <row r="170" spans="1:6" x14ac:dyDescent="0.25">
      <c r="A170" s="8">
        <v>45274</v>
      </c>
      <c r="B170" s="6">
        <f t="shared" si="10"/>
        <v>19705</v>
      </c>
      <c r="C170" s="6">
        <v>12</v>
      </c>
      <c r="D170" s="6">
        <f t="shared" si="11"/>
        <v>2.4849066497880004</v>
      </c>
      <c r="E170" s="6">
        <v>115.665831396801</v>
      </c>
      <c r="F170" s="6">
        <v>3</v>
      </c>
    </row>
    <row r="171" spans="1:6" x14ac:dyDescent="0.25">
      <c r="A171" s="8">
        <v>45293</v>
      </c>
      <c r="B171" s="6">
        <f t="shared" si="10"/>
        <v>19724</v>
      </c>
      <c r="C171" s="6">
        <v>3</v>
      </c>
      <c r="D171" s="6">
        <f t="shared" si="11"/>
        <v>1.0986122886681098</v>
      </c>
      <c r="E171" s="6">
        <v>116.16352450046899</v>
      </c>
      <c r="F171" s="6">
        <v>3</v>
      </c>
    </row>
    <row r="172" spans="1:6" x14ac:dyDescent="0.25">
      <c r="A172" s="8">
        <v>45336</v>
      </c>
      <c r="B172" s="6">
        <f t="shared" si="10"/>
        <v>19767</v>
      </c>
      <c r="C172" s="6">
        <v>7</v>
      </c>
      <c r="D172" s="6">
        <f t="shared" si="11"/>
        <v>1.9459101490553132</v>
      </c>
      <c r="E172" s="6">
        <v>117.242224411508</v>
      </c>
      <c r="F172" s="6">
        <v>3</v>
      </c>
    </row>
    <row r="173" spans="1:6" x14ac:dyDescent="0.25">
      <c r="A173" s="8">
        <v>45362</v>
      </c>
      <c r="B173" s="6">
        <f t="shared" si="10"/>
        <v>19793</v>
      </c>
      <c r="C173" s="6">
        <v>3</v>
      </c>
      <c r="D173" s="6">
        <f t="shared" si="11"/>
        <v>1.0986122886681098</v>
      </c>
      <c r="E173" s="6">
        <v>117.28131529706999</v>
      </c>
      <c r="F173" s="6">
        <v>3</v>
      </c>
    </row>
    <row r="174" spans="1:6" x14ac:dyDescent="0.25">
      <c r="A174" s="8">
        <v>45386</v>
      </c>
      <c r="B174" s="6">
        <f t="shared" si="10"/>
        <v>19817</v>
      </c>
      <c r="C174" s="6">
        <v>12</v>
      </c>
      <c r="D174" s="6">
        <f t="shared" si="11"/>
        <v>2.4849066497880004</v>
      </c>
      <c r="E174" s="6">
        <v>116.839433656742</v>
      </c>
      <c r="F174" s="6">
        <v>3</v>
      </c>
    </row>
    <row r="175" spans="1:6" x14ac:dyDescent="0.25">
      <c r="A175" s="8">
        <v>45418</v>
      </c>
      <c r="B175" s="6">
        <f t="shared" si="10"/>
        <v>19849</v>
      </c>
      <c r="C175" s="6">
        <v>7</v>
      </c>
      <c r="D175" s="6">
        <f t="shared" si="11"/>
        <v>1.9459101490553132</v>
      </c>
      <c r="E175" s="6">
        <v>116.699859575613</v>
      </c>
      <c r="F175" s="6">
        <v>3</v>
      </c>
    </row>
    <row r="176" spans="1:6" x14ac:dyDescent="0.25">
      <c r="A176" s="8">
        <v>45454</v>
      </c>
      <c r="B176" s="6">
        <f t="shared" si="10"/>
        <v>19885</v>
      </c>
      <c r="C176" s="6">
        <v>3</v>
      </c>
      <c r="D176" s="6">
        <f t="shared" si="11"/>
        <v>1.0986122886681098</v>
      </c>
      <c r="E176" s="6">
        <v>116.435202600176</v>
      </c>
      <c r="F176" s="6">
        <v>3</v>
      </c>
    </row>
    <row r="177" spans="1:6" x14ac:dyDescent="0.25">
      <c r="A177" s="8">
        <v>45475</v>
      </c>
      <c r="B177" s="6">
        <f t="shared" si="10"/>
        <v>19906</v>
      </c>
      <c r="C177" s="6">
        <v>10</v>
      </c>
      <c r="D177" s="6">
        <f t="shared" si="11"/>
        <v>2.3025850929940459</v>
      </c>
      <c r="E177" s="6">
        <v>116.240871726199</v>
      </c>
      <c r="F177" s="6">
        <v>3</v>
      </c>
    </row>
    <row r="178" spans="1:6" x14ac:dyDescent="0.25">
      <c r="A178" s="8">
        <v>45516</v>
      </c>
      <c r="B178" s="6">
        <f t="shared" si="10"/>
        <v>19947</v>
      </c>
      <c r="C178" s="6">
        <v>3</v>
      </c>
      <c r="D178" s="6">
        <f t="shared" si="11"/>
        <v>1.0986122886681098</v>
      </c>
      <c r="E178" s="6">
        <v>118.865689136906</v>
      </c>
      <c r="F178" s="6">
        <v>3</v>
      </c>
    </row>
    <row r="179" spans="1:6" x14ac:dyDescent="0.25">
      <c r="A179" s="8">
        <v>45544</v>
      </c>
      <c r="B179" s="6">
        <f t="shared" si="10"/>
        <v>19975</v>
      </c>
      <c r="C179" s="6">
        <v>4</v>
      </c>
      <c r="D179" s="6">
        <f t="shared" si="11"/>
        <v>1.3862943611198906</v>
      </c>
      <c r="E179" s="6">
        <v>117.444779507916</v>
      </c>
      <c r="F179" s="6">
        <v>3</v>
      </c>
    </row>
    <row r="180" spans="1:6" x14ac:dyDescent="0.25">
      <c r="A180" s="8">
        <v>45587</v>
      </c>
      <c r="B180" s="6">
        <f t="shared" si="10"/>
        <v>20018</v>
      </c>
      <c r="C180" s="6">
        <v>5.93</v>
      </c>
      <c r="D180" s="6">
        <f t="shared" si="11"/>
        <v>1.780024213009634</v>
      </c>
      <c r="E180" s="6">
        <v>116.91660962056299</v>
      </c>
      <c r="F180" s="6">
        <v>3</v>
      </c>
    </row>
    <row r="181" spans="1:6" x14ac:dyDescent="0.25">
      <c r="A181" s="8">
        <v>45588</v>
      </c>
      <c r="B181" s="6">
        <f t="shared" si="10"/>
        <v>20019</v>
      </c>
      <c r="C181" s="6">
        <v>31</v>
      </c>
      <c r="D181" s="6">
        <f t="shared" si="11"/>
        <v>3.4339872044851463</v>
      </c>
      <c r="E181" s="6">
        <v>117.010074273312</v>
      </c>
      <c r="F181" s="6">
        <v>3</v>
      </c>
    </row>
    <row r="182" spans="1:6" x14ac:dyDescent="0.25">
      <c r="A182" s="8">
        <v>45607</v>
      </c>
      <c r="B182" s="6">
        <f t="shared" si="10"/>
        <v>20038</v>
      </c>
      <c r="C182" s="6">
        <v>4</v>
      </c>
      <c r="D182" s="6">
        <f t="shared" si="11"/>
        <v>1.3862943611198906</v>
      </c>
      <c r="E182" s="6">
        <v>117.261470169407</v>
      </c>
      <c r="F182" s="6">
        <v>3</v>
      </c>
    </row>
    <row r="183" spans="1:6" x14ac:dyDescent="0.25">
      <c r="A183" s="8">
        <v>45630</v>
      </c>
      <c r="B183" s="6">
        <f t="shared" si="10"/>
        <v>20061</v>
      </c>
      <c r="C183" s="6">
        <v>8</v>
      </c>
      <c r="D183" s="6">
        <f t="shared" si="11"/>
        <v>2.0794415416798357</v>
      </c>
      <c r="E183" s="6">
        <v>116.062732360295</v>
      </c>
      <c r="F183" s="6">
        <v>3</v>
      </c>
    </row>
  </sheetData>
  <sortState xmlns:xlrd2="http://schemas.microsoft.com/office/spreadsheetml/2017/richdata2" ref="A3:F183">
    <sortCondition ref="A3:A183"/>
  </sortState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B18C2-698C-4477-975F-BE3691B75A4A}">
  <dimension ref="A1:L157"/>
  <sheetViews>
    <sheetView workbookViewId="0">
      <selection sqref="A1:XFD1"/>
    </sheetView>
  </sheetViews>
  <sheetFormatPr defaultRowHeight="15" x14ac:dyDescent="0.25"/>
  <cols>
    <col min="1" max="1" width="11.140625" style="8" customWidth="1"/>
    <col min="2" max="6" width="11.140625" style="6" customWidth="1"/>
    <col min="7" max="9" width="9.140625" style="6"/>
    <col min="10" max="12" width="12.42578125" style="6" customWidth="1"/>
    <col min="13" max="13" width="37" style="6" bestFit="1" customWidth="1"/>
    <col min="14" max="16384" width="9.140625" style="6"/>
  </cols>
  <sheetData>
    <row r="1" spans="1:12" s="3" customFormat="1" ht="15.75" x14ac:dyDescent="0.25">
      <c r="A1" s="2" t="s">
        <v>7</v>
      </c>
    </row>
    <row r="2" spans="1:12" x14ac:dyDescent="0.25">
      <c r="A2" s="4" t="s">
        <v>0</v>
      </c>
      <c r="B2" s="5" t="s">
        <v>1</v>
      </c>
      <c r="C2" s="5" t="s">
        <v>2</v>
      </c>
      <c r="D2" s="5" t="s">
        <v>3</v>
      </c>
      <c r="E2" s="5" t="s">
        <v>9</v>
      </c>
      <c r="F2" s="5" t="s">
        <v>4</v>
      </c>
      <c r="I2" s="7" t="s">
        <v>4</v>
      </c>
      <c r="J2" s="7" t="s">
        <v>5</v>
      </c>
      <c r="K2" s="7" t="s">
        <v>9</v>
      </c>
      <c r="L2" s="7" t="s">
        <v>6</v>
      </c>
    </row>
    <row r="3" spans="1:12" x14ac:dyDescent="0.25">
      <c r="A3" s="8">
        <v>40772</v>
      </c>
      <c r="B3" s="6">
        <f>A3-DATE(1970,1,1)</f>
        <v>15203</v>
      </c>
      <c r="C3" s="6">
        <v>115</v>
      </c>
      <c r="D3" s="6">
        <f>LN(C3)</f>
        <v>4.7449321283632502</v>
      </c>
      <c r="E3" s="6">
        <v>117.497526620241</v>
      </c>
      <c r="F3" s="6">
        <v>1</v>
      </c>
      <c r="I3" s="9">
        <v>1</v>
      </c>
      <c r="J3" s="10" cm="1">
        <f t="array" ref="J3">INDEX(LINEST(_xlfn._xlws.FILTER($D$3:$D$1000,$F$3:$F$1000=$I3),CHOOSE({1,2},_xlfn._xlws.FILTER($E$3:$E$1000,$F$3:$F$1000=$I3),_xlfn._xlws.FILTER($B$3:$B$1000,$F$3:$F$1000=$I3)),TRUE,TRUE),1,1)</f>
        <v>-6.376771180789017E-4</v>
      </c>
      <c r="K3" s="11" cm="1">
        <f t="array" ref="K3">INDEX(LINEST(_xlfn._xlws.FILTER($D$3:$D$1000,$F$3:$F$1000=$I3),CHOOSE({1,2},_xlfn._xlws.FILTER($E$3:$E$1000,$F$3:$F$1000=$I3),_xlfn._xlws.FILTER($B$3:$B$1000,$F$3:$F$1000=$I3)),TRUE,TRUE),1,2)</f>
        <v>-4.2371653363516872E-3</v>
      </c>
      <c r="L3" s="6" cm="1">
        <f t="array" ref="L3">INDEX(LINEST(_xlfn._xlws.FILTER($D$3:$D$1000,$F$3:$F$1000=$I3),CHOOSE({1,2},_xlfn._xlws.FILTER($E$3:$E$1000,$F$3:$F$1000=$I3),_xlfn._xlws.FILTER($B$3:$B$1000,$F$3:$F$1000=$I3)),TRUE,TRUE),1,3)</f>
        <v>15.49733984826492</v>
      </c>
    </row>
    <row r="4" spans="1:12" x14ac:dyDescent="0.25">
      <c r="A4" s="8">
        <v>40954</v>
      </c>
      <c r="B4" s="6">
        <f>A4-DATE(1970,1,1)</f>
        <v>15385</v>
      </c>
      <c r="C4" s="6">
        <v>170</v>
      </c>
      <c r="D4" s="6">
        <f>LN(C4)</f>
        <v>5.1357984370502621</v>
      </c>
      <c r="E4" s="6">
        <v>118.631361334617</v>
      </c>
      <c r="F4" s="6">
        <v>1</v>
      </c>
      <c r="I4" s="9">
        <v>2</v>
      </c>
      <c r="J4" s="10" cm="1">
        <f t="array" ref="J4">INDEX(LINEST(_xlfn._xlws.FILTER($D$3:$D$1000,$F$3:$F$1000=$I4),CHOOSE({1,2},_xlfn._xlws.FILTER($E$3:$E$1000,$F$3:$F$1000=$I4),_xlfn._xlws.FILTER($B$3:$B$1000,$F$3:$F$1000=$I4)),TRUE,TRUE),1,1)</f>
        <v>9.2498302187147457E-7</v>
      </c>
      <c r="K4" s="11" cm="1">
        <f t="array" ref="K4">INDEX(LINEST(_xlfn._xlws.FILTER($D$3:$D$1000,$F$3:$F$1000=$I4),CHOOSE({1,2},_xlfn._xlws.FILTER($E$3:$E$1000,$F$3:$F$1000=$I4),_xlfn._xlws.FILTER($B$3:$B$1000,$F$3:$F$1000=$I4)),TRUE,TRUE),1,2)</f>
        <v>2.1528422204791953E-2</v>
      </c>
      <c r="L4" s="6" cm="1">
        <f t="array" ref="L4">INDEX(LINEST(_xlfn._xlws.FILTER($D$3:$D$1000,$F$3:$F$1000=$I4),CHOOSE({1,2},_xlfn._xlws.FILTER($E$3:$E$1000,$F$3:$F$1000=$I4),_xlfn._xlws.FILTER($B$3:$B$1000,$F$3:$F$1000=$I4)),TRUE,TRUE),1,3)</f>
        <v>0.49299611556827794</v>
      </c>
    </row>
    <row r="5" spans="1:12" x14ac:dyDescent="0.25">
      <c r="A5" s="8">
        <v>41052</v>
      </c>
      <c r="B5" s="6">
        <f>A5-DATE(1970,1,1)</f>
        <v>15483</v>
      </c>
      <c r="C5" s="6">
        <v>162</v>
      </c>
      <c r="D5" s="6">
        <f>LN(C5)</f>
        <v>5.0875963352323836</v>
      </c>
      <c r="E5" s="6">
        <v>117.897650696554</v>
      </c>
      <c r="F5" s="6">
        <v>1</v>
      </c>
    </row>
    <row r="6" spans="1:12" x14ac:dyDescent="0.25">
      <c r="A6" s="8">
        <v>41120</v>
      </c>
      <c r="B6" s="6">
        <f>A6-DATE(1970,1,1)</f>
        <v>15551</v>
      </c>
      <c r="C6" s="6">
        <v>179</v>
      </c>
      <c r="D6" s="6">
        <f>LN(C6)</f>
        <v>5.1873858058407549</v>
      </c>
      <c r="E6" s="6">
        <v>117.209700945272</v>
      </c>
      <c r="F6" s="6">
        <v>1</v>
      </c>
    </row>
    <row r="7" spans="1:12" x14ac:dyDescent="0.25">
      <c r="A7" s="8">
        <v>41201</v>
      </c>
      <c r="B7" s="6">
        <f>A7-DATE(1970,1,1)</f>
        <v>15632</v>
      </c>
      <c r="C7" s="6">
        <v>146</v>
      </c>
      <c r="D7" s="6">
        <f>LN(C7)</f>
        <v>4.9836066217083363</v>
      </c>
      <c r="E7" s="6">
        <v>117.68303205827</v>
      </c>
      <c r="F7" s="6">
        <v>1</v>
      </c>
    </row>
    <row r="8" spans="1:12" x14ac:dyDescent="0.25">
      <c r="A8" s="8">
        <v>41309</v>
      </c>
      <c r="B8" s="6">
        <f>A8-DATE(1970,1,1)</f>
        <v>15740</v>
      </c>
      <c r="C8" s="6">
        <v>129</v>
      </c>
      <c r="D8" s="6">
        <f>LN(C8)</f>
        <v>4.8598124043616719</v>
      </c>
      <c r="E8" s="6">
        <v>117.316991844622</v>
      </c>
      <c r="F8" s="6">
        <v>1</v>
      </c>
      <c r="J8" s="10"/>
      <c r="K8" s="11"/>
    </row>
    <row r="9" spans="1:12" x14ac:dyDescent="0.25">
      <c r="A9" s="8">
        <v>41381</v>
      </c>
      <c r="B9" s="6">
        <f>A9-DATE(1970,1,1)</f>
        <v>15812</v>
      </c>
      <c r="C9" s="6">
        <v>133</v>
      </c>
      <c r="D9" s="6">
        <f>LN(C9)</f>
        <v>4.8903491282217537</v>
      </c>
      <c r="E9" s="6">
        <v>116.912852971726</v>
      </c>
      <c r="F9" s="6">
        <v>1</v>
      </c>
      <c r="J9" s="10"/>
      <c r="K9" s="11"/>
    </row>
    <row r="10" spans="1:12" x14ac:dyDescent="0.25">
      <c r="A10" s="8">
        <v>41530</v>
      </c>
      <c r="B10" s="6">
        <f>A10-DATE(1970,1,1)</f>
        <v>15961</v>
      </c>
      <c r="C10" s="6">
        <v>114.5</v>
      </c>
      <c r="D10" s="6">
        <f>LN(C10)</f>
        <v>4.7405748229942946</v>
      </c>
      <c r="E10" s="6">
        <v>115.707609754429</v>
      </c>
      <c r="F10" s="6">
        <v>1</v>
      </c>
    </row>
    <row r="11" spans="1:12" x14ac:dyDescent="0.25">
      <c r="A11" s="8">
        <v>41572</v>
      </c>
      <c r="B11" s="6">
        <f>A11-DATE(1970,1,1)</f>
        <v>16003</v>
      </c>
      <c r="C11" s="6">
        <v>116</v>
      </c>
      <c r="D11" s="6">
        <f>LN(C11)</f>
        <v>4.7535901911063645</v>
      </c>
      <c r="E11" s="6">
        <v>117.12317003726599</v>
      </c>
      <c r="F11" s="6">
        <v>1</v>
      </c>
    </row>
    <row r="12" spans="1:12" x14ac:dyDescent="0.25">
      <c r="A12" s="8">
        <v>41691</v>
      </c>
      <c r="B12" s="6">
        <f>A12-DATE(1970,1,1)</f>
        <v>16122</v>
      </c>
      <c r="C12" s="6">
        <v>122</v>
      </c>
      <c r="D12" s="6">
        <f>LN(C12)</f>
        <v>4.8040210447332568</v>
      </c>
      <c r="E12" s="6">
        <v>116.877507651711</v>
      </c>
      <c r="F12" s="6">
        <v>1</v>
      </c>
    </row>
    <row r="13" spans="1:12" x14ac:dyDescent="0.25">
      <c r="A13" s="8">
        <v>41807</v>
      </c>
      <c r="B13" s="6">
        <f>A13-DATE(1970,1,1)</f>
        <v>16238</v>
      </c>
      <c r="C13" s="6">
        <v>130</v>
      </c>
      <c r="D13" s="6">
        <f>LN(C13)</f>
        <v>4.8675344504555822</v>
      </c>
      <c r="E13" s="6">
        <v>118.431038575868</v>
      </c>
      <c r="F13" s="6">
        <v>1</v>
      </c>
    </row>
    <row r="14" spans="1:12" x14ac:dyDescent="0.25">
      <c r="A14" s="8">
        <v>41859</v>
      </c>
      <c r="B14" s="6">
        <f>A14-DATE(1970,1,1)</f>
        <v>16290</v>
      </c>
      <c r="C14" s="6">
        <v>99</v>
      </c>
      <c r="D14" s="6">
        <f>LN(C14)</f>
        <v>4.5951198501345898</v>
      </c>
      <c r="E14" s="6">
        <v>118.13460728695701</v>
      </c>
      <c r="F14" s="6">
        <v>1</v>
      </c>
    </row>
    <row r="15" spans="1:12" x14ac:dyDescent="0.25">
      <c r="A15" s="8">
        <v>41943</v>
      </c>
      <c r="B15" s="6">
        <f>A15-DATE(1970,1,1)</f>
        <v>16374</v>
      </c>
      <c r="C15" s="6">
        <v>111</v>
      </c>
      <c r="D15" s="6">
        <f>LN(C15)</f>
        <v>4.7095302013123339</v>
      </c>
      <c r="E15" s="6">
        <v>117.582123829238</v>
      </c>
      <c r="F15" s="6">
        <v>1</v>
      </c>
    </row>
    <row r="16" spans="1:12" x14ac:dyDescent="0.25">
      <c r="A16" s="8">
        <v>42046</v>
      </c>
      <c r="B16" s="6">
        <f>A16-DATE(1970,1,1)</f>
        <v>16477</v>
      </c>
      <c r="C16" s="6">
        <v>107.5</v>
      </c>
      <c r="D16" s="6">
        <f>LN(C16)</f>
        <v>4.677490847567717</v>
      </c>
      <c r="E16" s="6">
        <v>118.64945403909</v>
      </c>
      <c r="F16" s="6">
        <v>1</v>
      </c>
    </row>
    <row r="17" spans="1:6" x14ac:dyDescent="0.25">
      <c r="A17" s="8">
        <v>42128</v>
      </c>
      <c r="B17" s="6">
        <f>A17-DATE(1970,1,1)</f>
        <v>16559</v>
      </c>
      <c r="C17" s="6">
        <v>112</v>
      </c>
      <c r="D17" s="6">
        <f>LN(C17)</f>
        <v>4.7184988712950942</v>
      </c>
      <c r="E17" s="6">
        <v>117.487416488687</v>
      </c>
      <c r="F17" s="6">
        <v>1</v>
      </c>
    </row>
    <row r="18" spans="1:6" x14ac:dyDescent="0.25">
      <c r="A18" s="8">
        <v>42219</v>
      </c>
      <c r="B18" s="6">
        <f>A18-DATE(1970,1,1)</f>
        <v>16650</v>
      </c>
      <c r="C18" s="6">
        <v>74</v>
      </c>
      <c r="D18" s="6">
        <f>LN(C18)</f>
        <v>4.3040650932041702</v>
      </c>
      <c r="E18" s="6">
        <v>118.285709163981</v>
      </c>
      <c r="F18" s="6">
        <v>1</v>
      </c>
    </row>
    <row r="19" spans="1:6" x14ac:dyDescent="0.25">
      <c r="A19" s="8">
        <v>42243</v>
      </c>
      <c r="B19" s="6">
        <f>A19-DATE(1970,1,1)</f>
        <v>16674</v>
      </c>
      <c r="C19" s="6">
        <v>68.5</v>
      </c>
      <c r="D19" s="6">
        <f>LN(C19)</f>
        <v>4.2268337452681797</v>
      </c>
      <c r="E19" s="6">
        <v>117.330136457599</v>
      </c>
      <c r="F19" s="6">
        <v>1</v>
      </c>
    </row>
    <row r="20" spans="1:6" x14ac:dyDescent="0.25">
      <c r="A20" s="8">
        <v>42255</v>
      </c>
      <c r="B20" s="6">
        <f>A20-DATE(1970,1,1)</f>
        <v>16686</v>
      </c>
      <c r="C20" s="6">
        <v>75</v>
      </c>
      <c r="D20" s="6">
        <f>LN(C20)</f>
        <v>4.3174881135363101</v>
      </c>
      <c r="E20" s="6">
        <v>118.21042559736</v>
      </c>
      <c r="F20" s="6">
        <v>1</v>
      </c>
    </row>
    <row r="21" spans="1:6" x14ac:dyDescent="0.25">
      <c r="A21" s="8">
        <v>42282</v>
      </c>
      <c r="B21" s="6">
        <f>A21-DATE(1970,1,1)</f>
        <v>16713</v>
      </c>
      <c r="C21" s="6">
        <v>79</v>
      </c>
      <c r="D21" s="6">
        <f>LN(C21)</f>
        <v>4.3694478524670215</v>
      </c>
      <c r="E21" s="6">
        <v>120.567922650036</v>
      </c>
      <c r="F21" s="6">
        <v>1</v>
      </c>
    </row>
    <row r="22" spans="1:6" x14ac:dyDescent="0.25">
      <c r="A22" s="8">
        <v>42310</v>
      </c>
      <c r="B22" s="6">
        <f>A22-DATE(1970,1,1)</f>
        <v>16741</v>
      </c>
      <c r="C22" s="6">
        <v>68</v>
      </c>
      <c r="D22" s="6">
        <f>LN(C22)</f>
        <v>4.219507705176107</v>
      </c>
      <c r="E22" s="6">
        <v>119.760134633729</v>
      </c>
      <c r="F22" s="6">
        <v>1</v>
      </c>
    </row>
    <row r="23" spans="1:6" x14ac:dyDescent="0.25">
      <c r="A23" s="8">
        <v>42319</v>
      </c>
      <c r="B23" s="6">
        <f>A23-DATE(1970,1,1)</f>
        <v>16750</v>
      </c>
      <c r="C23" s="6">
        <v>75</v>
      </c>
      <c r="D23" s="6">
        <f>LN(C23)</f>
        <v>4.3174881135363101</v>
      </c>
      <c r="E23" s="6">
        <v>116.891661435397</v>
      </c>
      <c r="F23" s="6">
        <v>1</v>
      </c>
    </row>
    <row r="24" spans="1:6" x14ac:dyDescent="0.25">
      <c r="A24" s="8">
        <v>42339</v>
      </c>
      <c r="B24" s="6">
        <f>A24-DATE(1970,1,1)</f>
        <v>16770</v>
      </c>
      <c r="C24" s="6">
        <v>45</v>
      </c>
      <c r="D24" s="6">
        <f>LN(C24)</f>
        <v>3.8066624897703196</v>
      </c>
      <c r="E24" s="6">
        <v>118.66412001539101</v>
      </c>
      <c r="F24" s="6">
        <v>1</v>
      </c>
    </row>
    <row r="25" spans="1:6" x14ac:dyDescent="0.25">
      <c r="A25" s="8">
        <v>42373</v>
      </c>
      <c r="B25" s="6">
        <f>A25-DATE(1970,1,1)</f>
        <v>16804</v>
      </c>
      <c r="C25" s="6">
        <v>76</v>
      </c>
      <c r="D25" s="6">
        <f>LN(C25)</f>
        <v>4.3307333402863311</v>
      </c>
      <c r="E25" s="6">
        <v>118.244437348779</v>
      </c>
      <c r="F25" s="6">
        <v>1</v>
      </c>
    </row>
    <row r="26" spans="1:6" x14ac:dyDescent="0.25">
      <c r="A26" s="8">
        <v>42401</v>
      </c>
      <c r="B26" s="6">
        <f>A26-DATE(1970,1,1)</f>
        <v>16832</v>
      </c>
      <c r="C26" s="6">
        <v>80</v>
      </c>
      <c r="D26" s="6">
        <f>LN(C26)</f>
        <v>4.3820266346738812</v>
      </c>
      <c r="E26" s="6">
        <v>117.234120919874</v>
      </c>
      <c r="F26" s="6">
        <v>1</v>
      </c>
    </row>
    <row r="27" spans="1:6" x14ac:dyDescent="0.25">
      <c r="A27" s="8">
        <v>42424</v>
      </c>
      <c r="B27" s="6">
        <f>A27-DATE(1970,1,1)</f>
        <v>16855</v>
      </c>
      <c r="C27" s="6">
        <v>82</v>
      </c>
      <c r="D27" s="6">
        <f>LN(C27)</f>
        <v>4.4067192472642533</v>
      </c>
      <c r="E27" s="6">
        <v>117.31424643344501</v>
      </c>
      <c r="F27" s="6">
        <v>1</v>
      </c>
    </row>
    <row r="28" spans="1:6" x14ac:dyDescent="0.25">
      <c r="A28" s="8">
        <v>42430</v>
      </c>
      <c r="B28" s="6">
        <f>A28-DATE(1970,1,1)</f>
        <v>16861</v>
      </c>
      <c r="C28" s="6">
        <v>92</v>
      </c>
      <c r="D28" s="6">
        <f>LN(C28)</f>
        <v>4.5217885770490405</v>
      </c>
      <c r="E28" s="6">
        <v>117.778489756366</v>
      </c>
      <c r="F28" s="6">
        <v>1</v>
      </c>
    </row>
    <row r="29" spans="1:6" x14ac:dyDescent="0.25">
      <c r="A29" s="8">
        <v>42465</v>
      </c>
      <c r="B29" s="6">
        <f>A29-DATE(1970,1,1)</f>
        <v>16896</v>
      </c>
      <c r="C29" s="6">
        <v>100</v>
      </c>
      <c r="D29" s="6">
        <f>LN(C29)</f>
        <v>4.6051701859880918</v>
      </c>
      <c r="E29" s="6">
        <v>116.785691507699</v>
      </c>
      <c r="F29" s="6">
        <v>1</v>
      </c>
    </row>
    <row r="30" spans="1:6" x14ac:dyDescent="0.25">
      <c r="A30" s="8">
        <v>42481</v>
      </c>
      <c r="B30" s="6">
        <f>A30-DATE(1970,1,1)</f>
        <v>16912</v>
      </c>
      <c r="C30" s="6">
        <v>94</v>
      </c>
      <c r="D30" s="6">
        <f>LN(C30)</f>
        <v>4.5432947822700038</v>
      </c>
      <c r="E30" s="6">
        <v>117.480226611674</v>
      </c>
      <c r="F30" s="6">
        <v>1</v>
      </c>
    </row>
    <row r="31" spans="1:6" x14ac:dyDescent="0.25">
      <c r="A31" s="8">
        <v>42485</v>
      </c>
      <c r="B31" s="6">
        <f>A31-DATE(1970,1,1)</f>
        <v>16916</v>
      </c>
      <c r="C31" s="6">
        <v>73</v>
      </c>
      <c r="D31" s="6">
        <f>LN(C31)</f>
        <v>4.290459441148391</v>
      </c>
      <c r="E31" s="6">
        <v>117.86942878225901</v>
      </c>
      <c r="F31" s="6">
        <v>1</v>
      </c>
    </row>
    <row r="32" spans="1:6" x14ac:dyDescent="0.25">
      <c r="A32" s="8">
        <v>42492</v>
      </c>
      <c r="B32" s="6">
        <f>A32-DATE(1970,1,1)</f>
        <v>16923</v>
      </c>
      <c r="C32" s="6">
        <v>70</v>
      </c>
      <c r="D32" s="6">
        <f>LN(C32)</f>
        <v>4.2484952420493594</v>
      </c>
      <c r="E32" s="6">
        <v>118.439489626143</v>
      </c>
      <c r="F32" s="6">
        <v>1</v>
      </c>
    </row>
    <row r="33" spans="1:6" x14ac:dyDescent="0.25">
      <c r="A33" s="8">
        <v>42499</v>
      </c>
      <c r="B33" s="6">
        <f>A33-DATE(1970,1,1)</f>
        <v>16930</v>
      </c>
      <c r="C33" s="6">
        <v>73</v>
      </c>
      <c r="D33" s="6">
        <f>LN(C33)</f>
        <v>4.290459441148391</v>
      </c>
      <c r="E33" s="6">
        <v>118.231458884864</v>
      </c>
      <c r="F33" s="6">
        <v>1</v>
      </c>
    </row>
    <row r="34" spans="1:6" x14ac:dyDescent="0.25">
      <c r="A34" s="8">
        <v>42501</v>
      </c>
      <c r="B34" s="6">
        <f>A34-DATE(1970,1,1)</f>
        <v>16932</v>
      </c>
      <c r="C34" s="6">
        <v>67.5</v>
      </c>
      <c r="D34" s="6">
        <f>LN(C34)</f>
        <v>4.2121275978784842</v>
      </c>
      <c r="E34" s="6">
        <v>119.68094532159201</v>
      </c>
      <c r="F34" s="6">
        <v>1</v>
      </c>
    </row>
    <row r="35" spans="1:6" x14ac:dyDescent="0.25">
      <c r="A35" s="8">
        <v>42506</v>
      </c>
      <c r="B35" s="6">
        <f>A35-DATE(1970,1,1)</f>
        <v>16937</v>
      </c>
      <c r="C35" s="6">
        <v>70</v>
      </c>
      <c r="D35" s="6">
        <f>LN(C35)</f>
        <v>4.2484952420493594</v>
      </c>
      <c r="E35" s="6">
        <v>119.567392996793</v>
      </c>
      <c r="F35" s="6">
        <v>1</v>
      </c>
    </row>
    <row r="36" spans="1:6" x14ac:dyDescent="0.25">
      <c r="A36" s="8">
        <v>42527</v>
      </c>
      <c r="B36" s="6">
        <f>A36-DATE(1970,1,1)</f>
        <v>16958</v>
      </c>
      <c r="C36" s="6">
        <v>72</v>
      </c>
      <c r="D36" s="6">
        <f>LN(C36)</f>
        <v>4.2766661190160553</v>
      </c>
      <c r="E36" s="6">
        <v>118.677069937947</v>
      </c>
      <c r="F36" s="6">
        <v>1</v>
      </c>
    </row>
    <row r="37" spans="1:6" x14ac:dyDescent="0.25">
      <c r="A37" s="8">
        <v>42534</v>
      </c>
      <c r="B37" s="6">
        <f>A37-DATE(1970,1,1)</f>
        <v>16965</v>
      </c>
      <c r="C37" s="6">
        <v>69</v>
      </c>
      <c r="D37" s="6">
        <f>LN(C37)</f>
        <v>4.2341065045972597</v>
      </c>
      <c r="E37" s="6">
        <v>117.542185410334</v>
      </c>
      <c r="F37" s="6">
        <v>1</v>
      </c>
    </row>
    <row r="38" spans="1:6" x14ac:dyDescent="0.25">
      <c r="A38" s="8">
        <v>42548</v>
      </c>
      <c r="B38" s="6">
        <f>A38-DATE(1970,1,1)</f>
        <v>16979</v>
      </c>
      <c r="C38" s="6">
        <v>71</v>
      </c>
      <c r="D38" s="6">
        <f>LN(C38)</f>
        <v>4.2626798770413155</v>
      </c>
      <c r="E38" s="6">
        <v>115.80910195887</v>
      </c>
      <c r="F38" s="6">
        <v>1</v>
      </c>
    </row>
    <row r="39" spans="1:6" x14ac:dyDescent="0.25">
      <c r="A39" s="8">
        <v>42551</v>
      </c>
      <c r="B39" s="6">
        <f>A39-DATE(1970,1,1)</f>
        <v>16982</v>
      </c>
      <c r="C39" s="6">
        <v>65.5</v>
      </c>
      <c r="D39" s="6">
        <f>LN(C39)</f>
        <v>4.1820501426412067</v>
      </c>
      <c r="E39" s="6">
        <v>116.45855449068399</v>
      </c>
      <c r="F39" s="6">
        <v>1</v>
      </c>
    </row>
    <row r="40" spans="1:6" x14ac:dyDescent="0.25">
      <c r="A40" s="8">
        <v>42562</v>
      </c>
      <c r="B40" s="6">
        <f>A40-DATE(1970,1,1)</f>
        <v>16993</v>
      </c>
      <c r="C40" s="6">
        <v>67</v>
      </c>
      <c r="D40" s="6">
        <f>LN(C40)</f>
        <v>4.2046926193909657</v>
      </c>
      <c r="E40" s="6">
        <v>116.272677863456</v>
      </c>
      <c r="F40" s="6">
        <v>1</v>
      </c>
    </row>
    <row r="41" spans="1:6" x14ac:dyDescent="0.25">
      <c r="A41" s="8">
        <v>42570</v>
      </c>
      <c r="B41" s="6">
        <f>A41-DATE(1970,1,1)</f>
        <v>17001</v>
      </c>
      <c r="C41" s="6">
        <v>67</v>
      </c>
      <c r="D41" s="6">
        <f>LN(C41)</f>
        <v>4.2046926193909657</v>
      </c>
      <c r="E41" s="6">
        <v>117.135490101214</v>
      </c>
      <c r="F41" s="6">
        <v>1</v>
      </c>
    </row>
    <row r="42" spans="1:6" x14ac:dyDescent="0.25">
      <c r="A42" s="8">
        <v>42576</v>
      </c>
      <c r="B42" s="6">
        <f>A42-DATE(1970,1,1)</f>
        <v>17007</v>
      </c>
      <c r="C42" s="6">
        <v>64</v>
      </c>
      <c r="D42" s="6">
        <f>LN(C42)</f>
        <v>4.1588830833596715</v>
      </c>
      <c r="E42" s="6">
        <v>117.89408653747</v>
      </c>
      <c r="F42" s="6">
        <v>1</v>
      </c>
    </row>
    <row r="43" spans="1:6" x14ac:dyDescent="0.25">
      <c r="A43" s="8">
        <v>42583</v>
      </c>
      <c r="B43" s="6">
        <f>A43-DATE(1970,1,1)</f>
        <v>17014</v>
      </c>
      <c r="C43" s="6">
        <v>65</v>
      </c>
      <c r="D43" s="6">
        <f>LN(C43)</f>
        <v>4.1743872698956368</v>
      </c>
      <c r="E43" s="6">
        <v>116.630986225201</v>
      </c>
      <c r="F43" s="6">
        <v>1</v>
      </c>
    </row>
    <row r="44" spans="1:6" x14ac:dyDescent="0.25">
      <c r="A44" s="8">
        <v>42586</v>
      </c>
      <c r="B44" s="6">
        <f>A44-DATE(1970,1,1)</f>
        <v>17017</v>
      </c>
      <c r="C44" s="6">
        <v>64</v>
      </c>
      <c r="D44" s="6">
        <f>LN(C44)</f>
        <v>4.1588830833596715</v>
      </c>
      <c r="E44" s="6">
        <v>116.402896336696</v>
      </c>
      <c r="F44" s="6">
        <v>1</v>
      </c>
    </row>
    <row r="45" spans="1:6" x14ac:dyDescent="0.25">
      <c r="A45" s="8">
        <v>42591</v>
      </c>
      <c r="B45" s="6">
        <f>A45-DATE(1970,1,1)</f>
        <v>17022</v>
      </c>
      <c r="C45" s="6">
        <v>72</v>
      </c>
      <c r="D45" s="6">
        <f>LN(C45)</f>
        <v>4.2766661190160553</v>
      </c>
      <c r="E45" s="6">
        <v>116.83053137429999</v>
      </c>
      <c r="F45" s="6">
        <v>1</v>
      </c>
    </row>
    <row r="46" spans="1:6" x14ac:dyDescent="0.25">
      <c r="A46" s="8">
        <v>42597</v>
      </c>
      <c r="B46" s="6">
        <f>A46-DATE(1970,1,1)</f>
        <v>17028</v>
      </c>
      <c r="C46" s="6">
        <v>55</v>
      </c>
      <c r="D46" s="6">
        <f>LN(C46)</f>
        <v>4.0073331852324712</v>
      </c>
      <c r="E46" s="6">
        <v>117.775349528175</v>
      </c>
      <c r="F46" s="6">
        <v>1</v>
      </c>
    </row>
    <row r="47" spans="1:6" x14ac:dyDescent="0.25">
      <c r="A47" s="8">
        <v>42604</v>
      </c>
      <c r="B47" s="6">
        <f>A47-DATE(1970,1,1)</f>
        <v>17035</v>
      </c>
      <c r="C47" s="6">
        <v>65</v>
      </c>
      <c r="D47" s="6">
        <f>LN(C47)</f>
        <v>4.1743872698956368</v>
      </c>
      <c r="E47" s="6">
        <v>118.66491265469</v>
      </c>
      <c r="F47" s="6">
        <v>1</v>
      </c>
    </row>
    <row r="48" spans="1:6" x14ac:dyDescent="0.25">
      <c r="A48" s="8">
        <v>42613</v>
      </c>
      <c r="B48" s="6">
        <f>A48-DATE(1970,1,1)</f>
        <v>17044</v>
      </c>
      <c r="C48" s="6">
        <v>65</v>
      </c>
      <c r="D48" s="6">
        <f>LN(C48)</f>
        <v>4.1743872698956368</v>
      </c>
      <c r="E48" s="6">
        <v>118.166196677527</v>
      </c>
      <c r="F48" s="6">
        <v>1</v>
      </c>
    </row>
    <row r="49" spans="1:6" x14ac:dyDescent="0.25">
      <c r="A49" s="8">
        <v>42619</v>
      </c>
      <c r="B49" s="6">
        <f>A49-DATE(1970,1,1)</f>
        <v>17050</v>
      </c>
      <c r="C49" s="6">
        <v>69</v>
      </c>
      <c r="D49" s="6">
        <f>LN(C49)</f>
        <v>4.2341065045972597</v>
      </c>
      <c r="E49" s="6">
        <v>118.95995865563999</v>
      </c>
      <c r="F49" s="6">
        <v>1</v>
      </c>
    </row>
    <row r="50" spans="1:6" x14ac:dyDescent="0.25">
      <c r="A50" s="8">
        <v>42626</v>
      </c>
      <c r="B50" s="6">
        <f>A50-DATE(1970,1,1)</f>
        <v>17057</v>
      </c>
      <c r="C50" s="6">
        <v>57</v>
      </c>
      <c r="D50" s="6">
        <f>LN(C50)</f>
        <v>4.0430512678345503</v>
      </c>
      <c r="E50" s="6">
        <v>117.447231582534</v>
      </c>
      <c r="F50" s="6">
        <v>1</v>
      </c>
    </row>
    <row r="51" spans="1:6" x14ac:dyDescent="0.25">
      <c r="A51" s="8">
        <v>42632</v>
      </c>
      <c r="B51" s="6">
        <f>A51-DATE(1970,1,1)</f>
        <v>17063</v>
      </c>
      <c r="C51" s="6">
        <v>59</v>
      </c>
      <c r="D51" s="6">
        <f>LN(C51)</f>
        <v>4.0775374439057197</v>
      </c>
      <c r="E51" s="6">
        <v>117.53659176830701</v>
      </c>
      <c r="F51" s="6">
        <v>1</v>
      </c>
    </row>
    <row r="52" spans="1:6" x14ac:dyDescent="0.25">
      <c r="A52" s="8">
        <v>42641</v>
      </c>
      <c r="B52" s="6">
        <f>A52-DATE(1970,1,1)</f>
        <v>17072</v>
      </c>
      <c r="C52" s="6">
        <v>61</v>
      </c>
      <c r="D52" s="6">
        <f>LN(C52)</f>
        <v>4.1108738641733114</v>
      </c>
      <c r="E52" s="6">
        <v>116.65276731856</v>
      </c>
      <c r="F52" s="6">
        <v>1</v>
      </c>
    </row>
    <row r="53" spans="1:6" x14ac:dyDescent="0.25">
      <c r="A53" s="8">
        <v>42646</v>
      </c>
      <c r="B53" s="6">
        <f>A53-DATE(1970,1,1)</f>
        <v>17077</v>
      </c>
      <c r="C53" s="6">
        <v>61</v>
      </c>
      <c r="D53" s="6">
        <f>LN(C53)</f>
        <v>4.1108738641733114</v>
      </c>
      <c r="E53" s="6">
        <v>116.478438753433</v>
      </c>
      <c r="F53" s="6">
        <v>1</v>
      </c>
    </row>
    <row r="54" spans="1:6" x14ac:dyDescent="0.25">
      <c r="A54" s="8">
        <v>42675</v>
      </c>
      <c r="B54" s="6">
        <f>A54-DATE(1970,1,1)</f>
        <v>17106</v>
      </c>
      <c r="C54" s="6">
        <v>69</v>
      </c>
      <c r="D54" s="6">
        <f>LN(C54)</f>
        <v>4.2341065045972597</v>
      </c>
      <c r="E54" s="6">
        <v>116.87084649800001</v>
      </c>
      <c r="F54" s="6">
        <v>1</v>
      </c>
    </row>
    <row r="55" spans="1:6" x14ac:dyDescent="0.25">
      <c r="A55" s="8">
        <v>42684</v>
      </c>
      <c r="B55" s="6">
        <f>A55-DATE(1970,1,1)</f>
        <v>17115</v>
      </c>
      <c r="C55" s="6">
        <v>57.25</v>
      </c>
      <c r="D55" s="6">
        <f>LN(C55)</f>
        <v>4.0474276424343492</v>
      </c>
      <c r="E55" s="6">
        <v>116.667665071692</v>
      </c>
      <c r="F55" s="6">
        <v>1</v>
      </c>
    </row>
    <row r="56" spans="1:6" x14ac:dyDescent="0.25">
      <c r="A56" s="8">
        <v>42711</v>
      </c>
      <c r="B56" s="6">
        <f>A56-DATE(1970,1,1)</f>
        <v>17142</v>
      </c>
      <c r="C56" s="6">
        <v>61</v>
      </c>
      <c r="D56" s="6">
        <f>LN(C56)</f>
        <v>4.1108738641733114</v>
      </c>
      <c r="E56" s="6">
        <v>116.604976547109</v>
      </c>
      <c r="F56" s="6">
        <v>1</v>
      </c>
    </row>
    <row r="57" spans="1:6" x14ac:dyDescent="0.25">
      <c r="A57" s="8">
        <v>42739</v>
      </c>
      <c r="B57" s="6">
        <f>A57-DATE(1970,1,1)</f>
        <v>17170</v>
      </c>
      <c r="C57" s="6">
        <v>57</v>
      </c>
      <c r="D57" s="6">
        <f>LN(C57)</f>
        <v>4.0430512678345503</v>
      </c>
      <c r="E57" s="6">
        <v>116.656763823467</v>
      </c>
      <c r="F57" s="6">
        <v>1</v>
      </c>
    </row>
    <row r="58" spans="1:6" x14ac:dyDescent="0.25">
      <c r="A58" s="8">
        <v>42767</v>
      </c>
      <c r="B58" s="6">
        <f>A58-DATE(1970,1,1)</f>
        <v>17198</v>
      </c>
      <c r="C58" s="6">
        <v>50</v>
      </c>
      <c r="D58" s="6">
        <f>LN(C58)</f>
        <v>3.912023005428146</v>
      </c>
      <c r="E58" s="6">
        <v>116.343129150183</v>
      </c>
      <c r="F58" s="6">
        <v>1</v>
      </c>
    </row>
    <row r="59" spans="1:6" x14ac:dyDescent="0.25">
      <c r="A59" s="8">
        <v>42768</v>
      </c>
      <c r="B59" s="6">
        <f>A59-DATE(1970,1,1)</f>
        <v>17199</v>
      </c>
      <c r="C59" s="6">
        <v>52.5</v>
      </c>
      <c r="D59" s="6">
        <f>LN(C59)</f>
        <v>3.9608131695975781</v>
      </c>
      <c r="E59" s="6">
        <v>116.85765647138599</v>
      </c>
      <c r="F59" s="6">
        <v>1</v>
      </c>
    </row>
    <row r="60" spans="1:6" x14ac:dyDescent="0.25">
      <c r="A60" s="8">
        <v>42795</v>
      </c>
      <c r="B60" s="6">
        <f>A60-DATE(1970,1,1)</f>
        <v>17226</v>
      </c>
      <c r="C60" s="6">
        <v>50</v>
      </c>
      <c r="D60" s="6">
        <f>LN(C60)</f>
        <v>3.912023005428146</v>
      </c>
      <c r="E60" s="6">
        <v>117.121547462311</v>
      </c>
      <c r="F60" s="6">
        <v>1</v>
      </c>
    </row>
    <row r="61" spans="1:6" x14ac:dyDescent="0.25">
      <c r="A61" s="8">
        <v>42829</v>
      </c>
      <c r="B61" s="6">
        <f>A61-DATE(1970,1,1)</f>
        <v>17260</v>
      </c>
      <c r="C61" s="6">
        <v>49</v>
      </c>
      <c r="D61" s="6">
        <f>LN(C61)</f>
        <v>3.8918202981106265</v>
      </c>
      <c r="E61" s="6">
        <v>117.573647237841</v>
      </c>
      <c r="F61" s="6">
        <v>1</v>
      </c>
    </row>
    <row r="62" spans="1:6" x14ac:dyDescent="0.25">
      <c r="A62" s="8">
        <v>42856</v>
      </c>
      <c r="B62" s="6">
        <f>A62-DATE(1970,1,1)</f>
        <v>17287</v>
      </c>
      <c r="C62" s="6">
        <v>52</v>
      </c>
      <c r="D62" s="6">
        <f>LN(C62)</f>
        <v>3.9512437185814275</v>
      </c>
      <c r="E62" s="6">
        <v>118.61561564557201</v>
      </c>
      <c r="F62" s="6">
        <v>1</v>
      </c>
    </row>
    <row r="63" spans="1:6" x14ac:dyDescent="0.25">
      <c r="A63" s="8">
        <v>42858</v>
      </c>
      <c r="B63" s="6">
        <f>A63-DATE(1970,1,1)</f>
        <v>17289</v>
      </c>
      <c r="C63" s="6">
        <v>48.3333333333333</v>
      </c>
      <c r="D63" s="6">
        <f>LN(C63)</f>
        <v>3.8781214537524642</v>
      </c>
      <c r="E63" s="6">
        <v>118.121451318596</v>
      </c>
      <c r="F63" s="6">
        <v>1</v>
      </c>
    </row>
    <row r="64" spans="1:6" x14ac:dyDescent="0.25">
      <c r="A64" s="8">
        <v>42893</v>
      </c>
      <c r="B64" s="6">
        <f>A64-DATE(1970,1,1)</f>
        <v>17324</v>
      </c>
      <c r="C64" s="6">
        <v>48</v>
      </c>
      <c r="D64" s="6">
        <f>LN(C64)</f>
        <v>3.8712010109078911</v>
      </c>
      <c r="E64" s="6">
        <v>118.802180503207</v>
      </c>
      <c r="F64" s="6">
        <v>1</v>
      </c>
    </row>
    <row r="65" spans="1:6" x14ac:dyDescent="0.25">
      <c r="A65" s="8">
        <v>42922</v>
      </c>
      <c r="B65" s="6">
        <f>A65-DATE(1970,1,1)</f>
        <v>17353</v>
      </c>
      <c r="C65" s="6">
        <v>47</v>
      </c>
      <c r="D65" s="6">
        <f>LN(C65)</f>
        <v>3.8501476017100584</v>
      </c>
      <c r="E65" s="6">
        <v>117.718576434932</v>
      </c>
      <c r="F65" s="6">
        <v>1</v>
      </c>
    </row>
    <row r="66" spans="1:6" x14ac:dyDescent="0.25">
      <c r="A66" s="8">
        <v>42948</v>
      </c>
      <c r="B66" s="6">
        <f>A66-DATE(1970,1,1)</f>
        <v>17379</v>
      </c>
      <c r="C66" s="6">
        <v>52</v>
      </c>
      <c r="D66" s="6">
        <f>LN(C66)</f>
        <v>3.9512437185814275</v>
      </c>
      <c r="E66" s="6">
        <v>116.030077930966</v>
      </c>
      <c r="F66" s="6">
        <v>1</v>
      </c>
    </row>
    <row r="67" spans="1:6" x14ac:dyDescent="0.25">
      <c r="A67" s="8">
        <v>42984</v>
      </c>
      <c r="B67" s="6">
        <f>A67-DATE(1970,1,1)</f>
        <v>17415</v>
      </c>
      <c r="C67" s="6">
        <v>57</v>
      </c>
      <c r="D67" s="6">
        <f>LN(C67)</f>
        <v>4.0430512678345503</v>
      </c>
      <c r="E67" s="6">
        <v>116.143270719646</v>
      </c>
      <c r="F67" s="6">
        <v>1</v>
      </c>
    </row>
    <row r="68" spans="1:6" x14ac:dyDescent="0.25">
      <c r="A68" s="8">
        <v>43006</v>
      </c>
      <c r="B68" s="6">
        <f>A68-DATE(1970,1,1)</f>
        <v>17437</v>
      </c>
      <c r="C68" s="6">
        <v>48.5</v>
      </c>
      <c r="D68" s="6">
        <f>LN(C68)</f>
        <v>3.8815637979434374</v>
      </c>
      <c r="E68" s="6">
        <v>116.03824266572499</v>
      </c>
      <c r="F68" s="6">
        <v>1</v>
      </c>
    </row>
    <row r="69" spans="1:6" x14ac:dyDescent="0.25">
      <c r="A69" s="8">
        <v>43011</v>
      </c>
      <c r="B69" s="6">
        <f>A69-DATE(1970,1,1)</f>
        <v>17442</v>
      </c>
      <c r="C69" s="6">
        <v>53</v>
      </c>
      <c r="D69" s="6">
        <f>LN(C69)</f>
        <v>3.970291913552122</v>
      </c>
      <c r="E69" s="6">
        <v>117.29937525768899</v>
      </c>
      <c r="F69" s="6">
        <v>1</v>
      </c>
    </row>
    <row r="70" spans="1:6" x14ac:dyDescent="0.25">
      <c r="A70" s="8">
        <v>43073</v>
      </c>
      <c r="B70" s="6">
        <f>A70-DATE(1970,1,1)</f>
        <v>17504</v>
      </c>
      <c r="C70" s="6">
        <v>27</v>
      </c>
      <c r="D70" s="6">
        <f>LN(C70)</f>
        <v>3.2958368660043291</v>
      </c>
      <c r="E70" s="6">
        <v>116.779068051699</v>
      </c>
      <c r="F70" s="6">
        <v>1</v>
      </c>
    </row>
    <row r="71" spans="1:6" x14ac:dyDescent="0.25">
      <c r="A71" s="8">
        <v>43080</v>
      </c>
      <c r="B71" s="6">
        <f>A71-DATE(1970,1,1)</f>
        <v>17511</v>
      </c>
      <c r="C71" s="6">
        <v>46.5</v>
      </c>
      <c r="D71" s="6">
        <f>LN(C71)</f>
        <v>3.8394523125933104</v>
      </c>
      <c r="E71" s="6">
        <v>117.50152148276599</v>
      </c>
      <c r="F71" s="6">
        <v>1</v>
      </c>
    </row>
    <row r="72" spans="1:6" x14ac:dyDescent="0.25">
      <c r="A72" s="8">
        <v>43103</v>
      </c>
      <c r="B72" s="6">
        <f>A72-DATE(1970,1,1)</f>
        <v>17534</v>
      </c>
      <c r="C72" s="6">
        <v>47</v>
      </c>
      <c r="D72" s="6">
        <f>LN(C72)</f>
        <v>3.8501476017100584</v>
      </c>
      <c r="E72" s="6">
        <v>117.733618184691</v>
      </c>
      <c r="F72" s="6">
        <v>1</v>
      </c>
    </row>
    <row r="73" spans="1:6" x14ac:dyDescent="0.25">
      <c r="A73" s="8">
        <v>43132</v>
      </c>
      <c r="B73" s="6">
        <f>A73-DATE(1970,1,1)</f>
        <v>17563</v>
      </c>
      <c r="C73" s="6">
        <v>51</v>
      </c>
      <c r="D73" s="6">
        <f>LN(C73)</f>
        <v>3.9318256327243257</v>
      </c>
      <c r="E73" s="6">
        <v>117.75865386400601</v>
      </c>
      <c r="F73" s="6">
        <v>1</v>
      </c>
    </row>
    <row r="74" spans="1:6" x14ac:dyDescent="0.25">
      <c r="A74" s="8">
        <v>43165</v>
      </c>
      <c r="B74" s="6">
        <f>A74-DATE(1970,1,1)</f>
        <v>17596</v>
      </c>
      <c r="C74" s="6">
        <v>45</v>
      </c>
      <c r="D74" s="6">
        <f>LN(C74)</f>
        <v>3.8066624897703196</v>
      </c>
      <c r="E74" s="6">
        <v>117.39129023564099</v>
      </c>
      <c r="F74" s="6">
        <v>1</v>
      </c>
    </row>
    <row r="75" spans="1:6" x14ac:dyDescent="0.25">
      <c r="A75" s="8">
        <v>43173</v>
      </c>
      <c r="B75" s="6">
        <f>A75-DATE(1970,1,1)</f>
        <v>17604</v>
      </c>
      <c r="C75" s="6">
        <v>43</v>
      </c>
      <c r="D75" s="6">
        <f>LN(C75)</f>
        <v>3.7612001156935624</v>
      </c>
      <c r="E75" s="6">
        <v>116.13462683831401</v>
      </c>
      <c r="F75" s="6">
        <v>1</v>
      </c>
    </row>
    <row r="76" spans="1:6" x14ac:dyDescent="0.25">
      <c r="A76" s="8">
        <v>43194</v>
      </c>
      <c r="B76" s="6">
        <f>A76-DATE(1970,1,1)</f>
        <v>17625</v>
      </c>
      <c r="C76" s="6">
        <v>43</v>
      </c>
      <c r="D76" s="6">
        <f>LN(C76)</f>
        <v>3.7612001156935624</v>
      </c>
      <c r="E76" s="6">
        <v>117.63302440900399</v>
      </c>
      <c r="F76" s="6">
        <v>1</v>
      </c>
    </row>
    <row r="77" spans="1:6" x14ac:dyDescent="0.25">
      <c r="A77" s="8">
        <v>43227</v>
      </c>
      <c r="B77" s="6">
        <f>A77-DATE(1970,1,1)</f>
        <v>17658</v>
      </c>
      <c r="C77" s="6">
        <v>42</v>
      </c>
      <c r="D77" s="6">
        <f>LN(C77)</f>
        <v>3.7376696182833684</v>
      </c>
      <c r="E77" s="6">
        <v>117.81194948007099</v>
      </c>
      <c r="F77" s="6">
        <v>1</v>
      </c>
    </row>
    <row r="78" spans="1:6" x14ac:dyDescent="0.25">
      <c r="A78" s="8">
        <v>43257</v>
      </c>
      <c r="B78" s="6">
        <f>A78-DATE(1970,1,1)</f>
        <v>17688</v>
      </c>
      <c r="C78" s="6">
        <v>36</v>
      </c>
      <c r="D78" s="6">
        <f>LN(C78)</f>
        <v>3.5835189384561099</v>
      </c>
      <c r="E78" s="6">
        <v>116.715473141774</v>
      </c>
      <c r="F78" s="6">
        <v>1</v>
      </c>
    </row>
    <row r="79" spans="1:6" x14ac:dyDescent="0.25">
      <c r="A79" s="8">
        <v>43291</v>
      </c>
      <c r="B79" s="6">
        <f>A79-DATE(1970,1,1)</f>
        <v>17722</v>
      </c>
      <c r="C79" s="6">
        <v>40.3333333333333</v>
      </c>
      <c r="D79" s="6">
        <f>LN(C79)</f>
        <v>3.6971782569286304</v>
      </c>
      <c r="E79" s="6">
        <v>116.408024813723</v>
      </c>
      <c r="F79" s="6">
        <v>1</v>
      </c>
    </row>
    <row r="80" spans="1:6" x14ac:dyDescent="0.25">
      <c r="A80" s="8">
        <v>43325</v>
      </c>
      <c r="B80" s="6">
        <f>A80-DATE(1970,1,1)</f>
        <v>17756</v>
      </c>
      <c r="C80" s="6">
        <v>35</v>
      </c>
      <c r="D80" s="6">
        <f>LN(C80)</f>
        <v>3.5553480614894135</v>
      </c>
      <c r="E80" s="6">
        <v>116.926014508484</v>
      </c>
      <c r="F80" s="6">
        <v>1</v>
      </c>
    </row>
    <row r="81" spans="1:6" x14ac:dyDescent="0.25">
      <c r="A81" s="8">
        <v>43348</v>
      </c>
      <c r="B81" s="6">
        <f>A81-DATE(1970,1,1)</f>
        <v>17779</v>
      </c>
      <c r="C81" s="6">
        <v>45</v>
      </c>
      <c r="D81" s="6">
        <f>LN(C81)</f>
        <v>3.8066624897703196</v>
      </c>
      <c r="E81" s="6">
        <v>116.06441041553499</v>
      </c>
      <c r="F81" s="6">
        <v>1</v>
      </c>
    </row>
    <row r="82" spans="1:6" x14ac:dyDescent="0.25">
      <c r="A82" s="8">
        <v>43363</v>
      </c>
      <c r="B82" s="6">
        <f>A82-DATE(1970,1,1)</f>
        <v>17794</v>
      </c>
      <c r="C82" s="6">
        <v>38</v>
      </c>
      <c r="D82" s="6">
        <f>LN(C82)</f>
        <v>3.6375861597263857</v>
      </c>
      <c r="E82" s="6">
        <v>116.108224767518</v>
      </c>
      <c r="F82" s="6">
        <v>1</v>
      </c>
    </row>
    <row r="83" spans="1:6" x14ac:dyDescent="0.25">
      <c r="A83" s="8">
        <v>43374</v>
      </c>
      <c r="B83" s="6">
        <f>A83-DATE(1970,1,1)</f>
        <v>17805</v>
      </c>
      <c r="C83" s="6">
        <v>26</v>
      </c>
      <c r="D83" s="6">
        <f>LN(C83)</f>
        <v>3.2580965380214821</v>
      </c>
      <c r="E83" s="6">
        <v>117.058161708066</v>
      </c>
      <c r="F83" s="6">
        <v>1</v>
      </c>
    </row>
    <row r="84" spans="1:6" x14ac:dyDescent="0.25">
      <c r="A84" s="8">
        <v>43410</v>
      </c>
      <c r="B84" s="6">
        <f>A84-DATE(1970,1,1)</f>
        <v>17841</v>
      </c>
      <c r="C84" s="6">
        <v>43</v>
      </c>
      <c r="D84" s="6">
        <f>LN(C84)</f>
        <v>3.7612001156935624</v>
      </c>
      <c r="E84" s="6">
        <v>117.23284149518901</v>
      </c>
      <c r="F84" s="6">
        <v>1</v>
      </c>
    </row>
    <row r="85" spans="1:6" x14ac:dyDescent="0.25">
      <c r="A85" s="8">
        <v>43445</v>
      </c>
      <c r="B85" s="6">
        <f>A85-DATE(1970,1,1)</f>
        <v>17876</v>
      </c>
      <c r="C85" s="6">
        <v>34.3333333333333</v>
      </c>
      <c r="D85" s="6">
        <f>LN(C85)</f>
        <v>3.536116699561525</v>
      </c>
      <c r="E85" s="6">
        <v>117.427671122516</v>
      </c>
      <c r="F85" s="6">
        <v>1</v>
      </c>
    </row>
    <row r="86" spans="1:6" x14ac:dyDescent="0.25">
      <c r="A86" s="8">
        <v>43446</v>
      </c>
      <c r="B86" s="6">
        <f>A86-DATE(1970,1,1)</f>
        <v>17877</v>
      </c>
      <c r="C86" s="6">
        <v>46</v>
      </c>
      <c r="D86" s="6">
        <f>LN(C86)</f>
        <v>3.8286413964890951</v>
      </c>
      <c r="E86" s="6">
        <v>117.51776556588599</v>
      </c>
      <c r="F86" s="6">
        <v>1</v>
      </c>
    </row>
    <row r="87" spans="1:6" x14ac:dyDescent="0.25">
      <c r="A87" s="8">
        <v>43467</v>
      </c>
      <c r="B87" s="6">
        <f>A87-DATE(1970,1,1)</f>
        <v>17898</v>
      </c>
      <c r="C87" s="6">
        <v>38</v>
      </c>
      <c r="D87" s="6">
        <f>LN(C87)</f>
        <v>3.6375861597263857</v>
      </c>
      <c r="E87" s="6">
        <v>116.94009292533499</v>
      </c>
      <c r="F87" s="6">
        <v>1</v>
      </c>
    </row>
    <row r="88" spans="1:6" x14ac:dyDescent="0.25">
      <c r="A88" s="8">
        <v>43657</v>
      </c>
      <c r="B88" s="6">
        <f>A88-DATE(1970,1,1)</f>
        <v>18088</v>
      </c>
      <c r="C88" s="6">
        <v>27</v>
      </c>
      <c r="D88" s="6">
        <f>LN(C88)</f>
        <v>3.2958368660043291</v>
      </c>
      <c r="E88" s="6">
        <v>118.824358888753</v>
      </c>
      <c r="F88" s="6">
        <v>1</v>
      </c>
    </row>
    <row r="89" spans="1:6" x14ac:dyDescent="0.25">
      <c r="A89" s="8">
        <v>43703</v>
      </c>
      <c r="B89" s="6">
        <f>A89-DATE(1970,1,1)</f>
        <v>18134</v>
      </c>
      <c r="C89" s="6">
        <v>30</v>
      </c>
      <c r="D89" s="6">
        <f>LN(C89)</f>
        <v>3.4011973816621555</v>
      </c>
      <c r="E89" s="6">
        <v>117.599752499773</v>
      </c>
      <c r="F89" s="6">
        <v>1</v>
      </c>
    </row>
    <row r="90" spans="1:6" x14ac:dyDescent="0.25">
      <c r="A90" s="8">
        <v>43738</v>
      </c>
      <c r="B90" s="6">
        <f>A90-DATE(1970,1,1)</f>
        <v>18169</v>
      </c>
      <c r="C90" s="6">
        <v>29</v>
      </c>
      <c r="D90" s="6">
        <f>LN(C90)</f>
        <v>3.3672958299864741</v>
      </c>
      <c r="E90" s="6">
        <v>117.069754253794</v>
      </c>
      <c r="F90" s="6">
        <v>1</v>
      </c>
    </row>
    <row r="91" spans="1:6" x14ac:dyDescent="0.25">
      <c r="A91" s="8">
        <v>43748</v>
      </c>
      <c r="B91" s="6">
        <f>A91-DATE(1970,1,1)</f>
        <v>18179</v>
      </c>
      <c r="C91" s="6">
        <v>29</v>
      </c>
      <c r="D91" s="6">
        <f>LN(C91)</f>
        <v>3.3672958299864741</v>
      </c>
      <c r="E91" s="6">
        <v>117.51869237282</v>
      </c>
      <c r="F91" s="6">
        <v>1</v>
      </c>
    </row>
    <row r="92" spans="1:6" x14ac:dyDescent="0.25">
      <c r="A92" s="8">
        <v>43774</v>
      </c>
      <c r="B92" s="6">
        <f>A92-DATE(1970,1,1)</f>
        <v>18205</v>
      </c>
      <c r="C92" s="6">
        <v>29</v>
      </c>
      <c r="D92" s="6">
        <f>LN(C92)</f>
        <v>3.3672958299864741</v>
      </c>
      <c r="E92" s="6">
        <v>116.312992549104</v>
      </c>
      <c r="F92" s="6">
        <v>1</v>
      </c>
    </row>
    <row r="93" spans="1:6" x14ac:dyDescent="0.25">
      <c r="A93" s="8">
        <v>43803</v>
      </c>
      <c r="B93" s="6">
        <f>A93-DATE(1970,1,1)</f>
        <v>18234</v>
      </c>
      <c r="C93" s="6">
        <v>28</v>
      </c>
      <c r="D93" s="6">
        <f>LN(C93)</f>
        <v>3.3322045101752038</v>
      </c>
      <c r="E93" s="6">
        <v>116.694145746782</v>
      </c>
      <c r="F93" s="6">
        <v>1</v>
      </c>
    </row>
    <row r="94" spans="1:6" x14ac:dyDescent="0.25">
      <c r="A94" s="8">
        <v>43809</v>
      </c>
      <c r="B94" s="6">
        <f>A94-DATE(1970,1,1)</f>
        <v>18240</v>
      </c>
      <c r="C94" s="6">
        <v>27.2</v>
      </c>
      <c r="D94" s="6">
        <f>LN(C94)</f>
        <v>3.3032169733019514</v>
      </c>
      <c r="E94" s="6">
        <v>117.729900687285</v>
      </c>
      <c r="F94" s="6">
        <v>1</v>
      </c>
    </row>
    <row r="95" spans="1:6" x14ac:dyDescent="0.25">
      <c r="A95" s="8">
        <v>43837</v>
      </c>
      <c r="B95" s="6">
        <f>A95-DATE(1970,1,1)</f>
        <v>18268</v>
      </c>
      <c r="C95" s="6">
        <v>24</v>
      </c>
      <c r="D95" s="6">
        <f>LN(C95)</f>
        <v>3.1780538303479458</v>
      </c>
      <c r="E95" s="6">
        <v>116.784943290774</v>
      </c>
      <c r="F95" s="6">
        <v>2</v>
      </c>
    </row>
    <row r="96" spans="1:6" x14ac:dyDescent="0.25">
      <c r="A96" s="8">
        <v>43880</v>
      </c>
      <c r="B96" s="6">
        <f>A96-DATE(1970,1,1)</f>
        <v>18311</v>
      </c>
      <c r="C96" s="6">
        <v>20</v>
      </c>
      <c r="D96" s="6">
        <f>LN(C96)</f>
        <v>2.9957322735539909</v>
      </c>
      <c r="E96" s="6">
        <v>116.727700372435</v>
      </c>
      <c r="F96" s="6">
        <v>2</v>
      </c>
    </row>
    <row r="97" spans="1:6" x14ac:dyDescent="0.25">
      <c r="A97" s="8">
        <v>43902</v>
      </c>
      <c r="B97" s="6">
        <f>A97-DATE(1970,1,1)</f>
        <v>18333</v>
      </c>
      <c r="C97" s="6">
        <v>24.6</v>
      </c>
      <c r="D97" s="6">
        <f>LN(C97)</f>
        <v>3.202746442938317</v>
      </c>
      <c r="E97" s="6">
        <v>116.092561353837</v>
      </c>
      <c r="F97" s="6">
        <v>2</v>
      </c>
    </row>
    <row r="98" spans="1:6" x14ac:dyDescent="0.25">
      <c r="A98" s="8">
        <v>44035</v>
      </c>
      <c r="B98" s="6">
        <f>A98-DATE(1970,1,1)</f>
        <v>18466</v>
      </c>
      <c r="C98" s="6">
        <v>16</v>
      </c>
      <c r="D98" s="6">
        <f>LN(C98)</f>
        <v>2.7725887222397811</v>
      </c>
      <c r="E98" s="6">
        <v>117.213479577943</v>
      </c>
      <c r="F98" s="6">
        <v>2</v>
      </c>
    </row>
    <row r="99" spans="1:6" x14ac:dyDescent="0.25">
      <c r="A99" s="8">
        <v>44054</v>
      </c>
      <c r="B99" s="6">
        <f>A99-DATE(1970,1,1)</f>
        <v>18485</v>
      </c>
      <c r="C99" s="6">
        <v>29</v>
      </c>
      <c r="D99" s="6">
        <f>LN(C99)</f>
        <v>3.3672958299864741</v>
      </c>
      <c r="E99" s="6">
        <v>117.640364127791</v>
      </c>
      <c r="F99" s="6">
        <v>2</v>
      </c>
    </row>
    <row r="100" spans="1:6" x14ac:dyDescent="0.25">
      <c r="A100" s="8">
        <v>44083</v>
      </c>
      <c r="B100" s="6">
        <f>A100-DATE(1970,1,1)</f>
        <v>18514</v>
      </c>
      <c r="C100" s="6">
        <v>27</v>
      </c>
      <c r="D100" s="6">
        <f>LN(C100)</f>
        <v>3.2958368660043291</v>
      </c>
      <c r="E100" s="6">
        <v>117.87382034122901</v>
      </c>
      <c r="F100" s="6">
        <v>2</v>
      </c>
    </row>
    <row r="101" spans="1:6" x14ac:dyDescent="0.25">
      <c r="A101" s="8">
        <v>44111</v>
      </c>
      <c r="B101" s="6">
        <f>A101-DATE(1970,1,1)</f>
        <v>18542</v>
      </c>
      <c r="C101" s="6">
        <v>22.9</v>
      </c>
      <c r="D101" s="6">
        <f>LN(C101)</f>
        <v>3.1311369105601941</v>
      </c>
      <c r="E101" s="6">
        <v>117.614127922885</v>
      </c>
      <c r="F101" s="6">
        <v>2</v>
      </c>
    </row>
    <row r="102" spans="1:6" x14ac:dyDescent="0.25">
      <c r="A102" s="8">
        <v>44116</v>
      </c>
      <c r="B102" s="6">
        <f>A102-DATE(1970,1,1)</f>
        <v>18547</v>
      </c>
      <c r="C102" s="6">
        <v>30</v>
      </c>
      <c r="D102" s="6">
        <f>LN(C102)</f>
        <v>3.4011973816621555</v>
      </c>
      <c r="E102" s="6">
        <v>117.25547609975</v>
      </c>
      <c r="F102" s="6">
        <v>2</v>
      </c>
    </row>
    <row r="103" spans="1:6" x14ac:dyDescent="0.25">
      <c r="A103" s="8">
        <v>44147</v>
      </c>
      <c r="B103" s="6">
        <f>A103-DATE(1970,1,1)</f>
        <v>18578</v>
      </c>
      <c r="C103" s="6">
        <v>18</v>
      </c>
      <c r="D103" s="6">
        <f>LN(C103)</f>
        <v>2.8903717578961645</v>
      </c>
      <c r="E103" s="6">
        <v>119.06995566916299</v>
      </c>
      <c r="F103" s="6">
        <v>2</v>
      </c>
    </row>
    <row r="104" spans="1:6" x14ac:dyDescent="0.25">
      <c r="A104" s="8">
        <v>44175</v>
      </c>
      <c r="B104" s="6">
        <f>A104-DATE(1970,1,1)</f>
        <v>18606</v>
      </c>
      <c r="C104" s="6">
        <v>19.100000000000001</v>
      </c>
      <c r="D104" s="6">
        <f>LN(C104)</f>
        <v>2.9496883350525844</v>
      </c>
      <c r="E104" s="6">
        <v>117.76226383772401</v>
      </c>
      <c r="F104" s="6">
        <v>2</v>
      </c>
    </row>
    <row r="105" spans="1:6" x14ac:dyDescent="0.25">
      <c r="A105" s="8">
        <v>44216</v>
      </c>
      <c r="B105" s="6">
        <f>A105-DATE(1970,1,1)</f>
        <v>18647</v>
      </c>
      <c r="C105" s="6">
        <v>22</v>
      </c>
      <c r="D105" s="6">
        <f>LN(C105)</f>
        <v>3.0910424533583161</v>
      </c>
      <c r="E105" s="6">
        <v>118.52206073325399</v>
      </c>
      <c r="F105" s="6">
        <v>2</v>
      </c>
    </row>
    <row r="106" spans="1:6" x14ac:dyDescent="0.25">
      <c r="A106" s="8">
        <v>44236</v>
      </c>
      <c r="B106" s="6">
        <f>A106-DATE(1970,1,1)</f>
        <v>18667</v>
      </c>
      <c r="C106" s="6">
        <v>13</v>
      </c>
      <c r="D106" s="6">
        <f>LN(C106)</f>
        <v>2.5649493574615367</v>
      </c>
      <c r="E106" s="6">
        <v>118.64345932898701</v>
      </c>
      <c r="F106" s="6">
        <v>2</v>
      </c>
    </row>
    <row r="107" spans="1:6" x14ac:dyDescent="0.25">
      <c r="A107" s="8">
        <v>44265</v>
      </c>
      <c r="B107" s="6">
        <f>A107-DATE(1970,1,1)</f>
        <v>18696</v>
      </c>
      <c r="C107" s="6">
        <v>24</v>
      </c>
      <c r="D107" s="6">
        <f>LN(C107)</f>
        <v>3.1780538303479458</v>
      </c>
      <c r="E107" s="6">
        <v>119.219325454958</v>
      </c>
      <c r="F107" s="6">
        <v>2</v>
      </c>
    </row>
    <row r="108" spans="1:6" x14ac:dyDescent="0.25">
      <c r="A108" s="8">
        <v>44277</v>
      </c>
      <c r="B108" s="6">
        <f>A108-DATE(1970,1,1)</f>
        <v>18708</v>
      </c>
      <c r="C108" s="6">
        <v>20.399999999999999</v>
      </c>
      <c r="D108" s="6">
        <f>LN(C108)</f>
        <v>3.0155349008501706</v>
      </c>
      <c r="E108" s="6">
        <v>116.429487718495</v>
      </c>
      <c r="F108" s="6">
        <v>2</v>
      </c>
    </row>
    <row r="109" spans="1:6" x14ac:dyDescent="0.25">
      <c r="A109" s="8">
        <v>44299</v>
      </c>
      <c r="B109" s="6">
        <f>A109-DATE(1970,1,1)</f>
        <v>18730</v>
      </c>
      <c r="C109" s="6">
        <v>20</v>
      </c>
      <c r="D109" s="6">
        <f>LN(C109)</f>
        <v>2.9957322735539909</v>
      </c>
      <c r="E109" s="6">
        <v>118.88340600735999</v>
      </c>
      <c r="F109" s="6">
        <v>2</v>
      </c>
    </row>
    <row r="110" spans="1:6" x14ac:dyDescent="0.25">
      <c r="A110" s="8">
        <v>44333</v>
      </c>
      <c r="B110" s="6">
        <f>A110-DATE(1970,1,1)</f>
        <v>18764</v>
      </c>
      <c r="C110" s="6">
        <v>22</v>
      </c>
      <c r="D110" s="6">
        <f>LN(C110)</f>
        <v>3.0910424533583161</v>
      </c>
      <c r="E110" s="6">
        <v>117.973751731148</v>
      </c>
      <c r="F110" s="6">
        <v>2</v>
      </c>
    </row>
    <row r="111" spans="1:6" x14ac:dyDescent="0.25">
      <c r="A111" s="8">
        <v>44371</v>
      </c>
      <c r="B111" s="6">
        <f>A111-DATE(1970,1,1)</f>
        <v>18802</v>
      </c>
      <c r="C111" s="6">
        <v>18</v>
      </c>
      <c r="D111" s="6">
        <f>LN(C111)</f>
        <v>2.8903717578961645</v>
      </c>
      <c r="E111" s="6">
        <v>117.375860919533</v>
      </c>
      <c r="F111" s="6">
        <v>2</v>
      </c>
    </row>
    <row r="112" spans="1:6" x14ac:dyDescent="0.25">
      <c r="A112" s="8">
        <v>44375</v>
      </c>
      <c r="B112" s="6">
        <f>A112-DATE(1970,1,1)</f>
        <v>18806</v>
      </c>
      <c r="C112" s="6">
        <v>22</v>
      </c>
      <c r="D112" s="6">
        <f>LN(C112)</f>
        <v>3.0910424533583161</v>
      </c>
      <c r="E112" s="6">
        <v>116.950862691989</v>
      </c>
      <c r="F112" s="6">
        <v>2</v>
      </c>
    </row>
    <row r="113" spans="1:6" x14ac:dyDescent="0.25">
      <c r="A113" s="8">
        <v>44384</v>
      </c>
      <c r="B113" s="6">
        <f>A113-DATE(1970,1,1)</f>
        <v>18815</v>
      </c>
      <c r="C113" s="6">
        <v>20</v>
      </c>
      <c r="D113" s="6">
        <f>LN(C113)</f>
        <v>2.9957322735539909</v>
      </c>
      <c r="E113" s="6">
        <v>116.78373623543899</v>
      </c>
      <c r="F113" s="6">
        <v>2</v>
      </c>
    </row>
    <row r="114" spans="1:6" x14ac:dyDescent="0.25">
      <c r="A114" s="8">
        <v>44434</v>
      </c>
      <c r="B114" s="6">
        <f>A114-DATE(1970,1,1)</f>
        <v>18865</v>
      </c>
      <c r="C114" s="6">
        <v>20</v>
      </c>
      <c r="D114" s="6">
        <f>LN(C114)</f>
        <v>2.9957322735539909</v>
      </c>
      <c r="E114" s="6">
        <v>117.028090406057</v>
      </c>
      <c r="F114" s="6">
        <v>2</v>
      </c>
    </row>
    <row r="115" spans="1:6" x14ac:dyDescent="0.25">
      <c r="A115" s="8">
        <v>44496</v>
      </c>
      <c r="B115" s="6">
        <f>A115-DATE(1970,1,1)</f>
        <v>18927</v>
      </c>
      <c r="C115" s="6">
        <v>16.3</v>
      </c>
      <c r="D115" s="6">
        <f>LN(C115)</f>
        <v>2.7911651078127169</v>
      </c>
      <c r="E115" s="6">
        <v>117.55724952659099</v>
      </c>
      <c r="F115" s="6">
        <v>2</v>
      </c>
    </row>
    <row r="116" spans="1:6" x14ac:dyDescent="0.25">
      <c r="A116" s="8">
        <v>44502</v>
      </c>
      <c r="B116" s="6">
        <f>A116-DATE(1970,1,1)</f>
        <v>18933</v>
      </c>
      <c r="C116" s="6">
        <v>22</v>
      </c>
      <c r="D116" s="6">
        <f>LN(C116)</f>
        <v>3.0910424533583161</v>
      </c>
      <c r="E116" s="6">
        <v>116.59290154422099</v>
      </c>
      <c r="F116" s="6">
        <v>2</v>
      </c>
    </row>
    <row r="117" spans="1:6" x14ac:dyDescent="0.25">
      <c r="A117" s="8">
        <v>44607</v>
      </c>
      <c r="B117" s="6">
        <f>A117-DATE(1970,1,1)</f>
        <v>19038</v>
      </c>
      <c r="C117" s="6">
        <v>14.6</v>
      </c>
      <c r="D117" s="6">
        <f>LN(C117)</f>
        <v>2.6810215287142909</v>
      </c>
      <c r="E117" s="6">
        <v>118.07010610942601</v>
      </c>
      <c r="F117" s="6">
        <v>2</v>
      </c>
    </row>
    <row r="118" spans="1:6" x14ac:dyDescent="0.25">
      <c r="A118" s="8">
        <v>44614</v>
      </c>
      <c r="B118" s="6">
        <f>A118-DATE(1970,1,1)</f>
        <v>19045</v>
      </c>
      <c r="C118" s="6">
        <v>26</v>
      </c>
      <c r="D118" s="6">
        <f>LN(C118)</f>
        <v>3.2580965380214821</v>
      </c>
      <c r="E118" s="6">
        <v>116.140692766879</v>
      </c>
      <c r="F118" s="6">
        <v>2</v>
      </c>
    </row>
    <row r="119" spans="1:6" x14ac:dyDescent="0.25">
      <c r="A119" s="8">
        <v>44641</v>
      </c>
      <c r="B119" s="6">
        <f>A119-DATE(1970,1,1)</f>
        <v>19072</v>
      </c>
      <c r="C119" s="6">
        <v>15</v>
      </c>
      <c r="D119" s="6">
        <f>LN(C119)</f>
        <v>2.7080502011022101</v>
      </c>
      <c r="E119" s="6">
        <v>116.750503531448</v>
      </c>
      <c r="F119" s="6">
        <v>2</v>
      </c>
    </row>
    <row r="120" spans="1:6" x14ac:dyDescent="0.25">
      <c r="A120" s="8">
        <v>44655</v>
      </c>
      <c r="B120" s="6">
        <f>A120-DATE(1970,1,1)</f>
        <v>19086</v>
      </c>
      <c r="C120" s="6">
        <v>16.8</v>
      </c>
      <c r="D120" s="6">
        <f>LN(C120)</f>
        <v>2.8213788864092133</v>
      </c>
      <c r="E120" s="6">
        <v>117.345020468372</v>
      </c>
      <c r="F120" s="6">
        <v>2</v>
      </c>
    </row>
    <row r="121" spans="1:6" x14ac:dyDescent="0.25">
      <c r="A121" s="8">
        <v>44658</v>
      </c>
      <c r="B121" s="6">
        <f>A121-DATE(1970,1,1)</f>
        <v>19089</v>
      </c>
      <c r="C121" s="6">
        <v>20</v>
      </c>
      <c r="D121" s="6">
        <f>LN(C121)</f>
        <v>2.9957322735539909</v>
      </c>
      <c r="E121" s="6">
        <v>116.876234455537</v>
      </c>
      <c r="F121" s="6">
        <v>2</v>
      </c>
    </row>
    <row r="122" spans="1:6" x14ac:dyDescent="0.25">
      <c r="A122" s="8">
        <v>44699</v>
      </c>
      <c r="B122" s="6">
        <f>A122-DATE(1970,1,1)</f>
        <v>19130</v>
      </c>
      <c r="C122" s="6">
        <v>18</v>
      </c>
      <c r="D122" s="6">
        <f>LN(C122)</f>
        <v>2.8903717578961645</v>
      </c>
      <c r="E122" s="6">
        <v>117.30908779809</v>
      </c>
      <c r="F122" s="6">
        <v>2</v>
      </c>
    </row>
    <row r="123" spans="1:6" x14ac:dyDescent="0.25">
      <c r="A123" s="8">
        <v>44734</v>
      </c>
      <c r="B123" s="6">
        <f>A123-DATE(1970,1,1)</f>
        <v>19165</v>
      </c>
      <c r="C123" s="6">
        <v>17</v>
      </c>
      <c r="D123" s="6">
        <f>LN(C123)</f>
        <v>2.8332133440562162</v>
      </c>
      <c r="E123" s="6">
        <v>118.18392700342601</v>
      </c>
      <c r="F123" s="6">
        <v>2</v>
      </c>
    </row>
    <row r="124" spans="1:6" x14ac:dyDescent="0.25">
      <c r="A124" s="8">
        <v>44769</v>
      </c>
      <c r="B124" s="6">
        <f>A124-DATE(1970,1,1)</f>
        <v>19200</v>
      </c>
      <c r="C124" s="6">
        <v>21</v>
      </c>
      <c r="D124" s="6">
        <f>LN(C124)</f>
        <v>3.044522437723423</v>
      </c>
      <c r="E124" s="6">
        <v>117.20630814138801</v>
      </c>
      <c r="F124" s="6">
        <v>2</v>
      </c>
    </row>
    <row r="125" spans="1:6" x14ac:dyDescent="0.25">
      <c r="A125" s="8">
        <v>44782</v>
      </c>
      <c r="B125" s="6">
        <f>A125-DATE(1970,1,1)</f>
        <v>19213</v>
      </c>
      <c r="C125" s="6">
        <v>18</v>
      </c>
      <c r="D125" s="6">
        <f>LN(C125)</f>
        <v>2.8903717578961645</v>
      </c>
      <c r="E125" s="6">
        <v>117.556523817423</v>
      </c>
      <c r="F125" s="6">
        <v>2</v>
      </c>
    </row>
    <row r="126" spans="1:6" x14ac:dyDescent="0.25">
      <c r="A126" s="8">
        <v>44825</v>
      </c>
      <c r="B126" s="6">
        <f>A126-DATE(1970,1,1)</f>
        <v>19256</v>
      </c>
      <c r="C126" s="6">
        <v>25</v>
      </c>
      <c r="D126" s="6">
        <f>LN(C126)</f>
        <v>3.2188758248682006</v>
      </c>
      <c r="E126" s="6">
        <v>120.58907370438</v>
      </c>
      <c r="F126" s="6">
        <v>2</v>
      </c>
    </row>
    <row r="127" spans="1:6" x14ac:dyDescent="0.25">
      <c r="A127" s="8">
        <v>44846</v>
      </c>
      <c r="B127" s="6">
        <f>A127-DATE(1970,1,1)</f>
        <v>19277</v>
      </c>
      <c r="C127" s="6">
        <v>29.6</v>
      </c>
      <c r="D127" s="6">
        <f>LN(C127)</f>
        <v>3.3877743613300146</v>
      </c>
      <c r="E127" s="6">
        <v>117.246095645145</v>
      </c>
      <c r="F127" s="6">
        <v>2</v>
      </c>
    </row>
    <row r="128" spans="1:6" x14ac:dyDescent="0.25">
      <c r="A128" s="8">
        <v>44851</v>
      </c>
      <c r="B128" s="6">
        <f>A128-DATE(1970,1,1)</f>
        <v>19282</v>
      </c>
      <c r="C128" s="6">
        <v>19</v>
      </c>
      <c r="D128" s="6">
        <f>LN(C128)</f>
        <v>2.9444389791664403</v>
      </c>
      <c r="E128" s="6">
        <v>117.901437973181</v>
      </c>
      <c r="F128" s="6">
        <v>2</v>
      </c>
    </row>
    <row r="129" spans="1:6" x14ac:dyDescent="0.25">
      <c r="A129" s="8">
        <v>44881</v>
      </c>
      <c r="B129" s="6">
        <f>A129-DATE(1970,1,1)</f>
        <v>19312</v>
      </c>
      <c r="C129" s="6">
        <v>24</v>
      </c>
      <c r="D129" s="6">
        <f>LN(C129)</f>
        <v>3.1780538303479458</v>
      </c>
      <c r="E129" s="6">
        <v>117.20830482322501</v>
      </c>
      <c r="F129" s="6">
        <v>2</v>
      </c>
    </row>
    <row r="130" spans="1:6" x14ac:dyDescent="0.25">
      <c r="A130" s="8">
        <v>44901</v>
      </c>
      <c r="B130" s="6">
        <f>A130-DATE(1970,1,1)</f>
        <v>19332</v>
      </c>
      <c r="C130" s="6">
        <v>28</v>
      </c>
      <c r="D130" s="6">
        <f>LN(C130)</f>
        <v>3.3322045101752038</v>
      </c>
      <c r="E130" s="6">
        <v>117.574850911007</v>
      </c>
      <c r="F130" s="6">
        <v>2</v>
      </c>
    </row>
    <row r="131" spans="1:6" x14ac:dyDescent="0.25">
      <c r="A131" s="8">
        <v>44935</v>
      </c>
      <c r="B131" s="6">
        <f>A131-DATE(1970,1,1)</f>
        <v>19366</v>
      </c>
      <c r="C131" s="6">
        <v>33</v>
      </c>
      <c r="D131" s="6">
        <f>LN(C131)</f>
        <v>3.4965075614664802</v>
      </c>
      <c r="E131" s="6">
        <v>116.85191038564901</v>
      </c>
      <c r="F131" s="6">
        <v>2</v>
      </c>
    </row>
    <row r="132" spans="1:6" x14ac:dyDescent="0.25">
      <c r="A132" s="8">
        <v>44964</v>
      </c>
      <c r="B132" s="6">
        <f>A132-DATE(1970,1,1)</f>
        <v>19395</v>
      </c>
      <c r="C132" s="6">
        <v>20</v>
      </c>
      <c r="D132" s="6">
        <f>LN(C132)</f>
        <v>2.9957322735539909</v>
      </c>
      <c r="E132" s="6">
        <v>116.485274698003</v>
      </c>
      <c r="F132" s="6">
        <v>2</v>
      </c>
    </row>
    <row r="133" spans="1:6" x14ac:dyDescent="0.25">
      <c r="A133" s="8">
        <v>44991</v>
      </c>
      <c r="B133" s="6">
        <f>A133-DATE(1970,1,1)</f>
        <v>19422</v>
      </c>
      <c r="C133" s="6">
        <v>18</v>
      </c>
      <c r="D133" s="6">
        <f>LN(C133)</f>
        <v>2.8903717578961645</v>
      </c>
      <c r="E133" s="6">
        <v>117.29781901593699</v>
      </c>
      <c r="F133" s="6">
        <v>2</v>
      </c>
    </row>
    <row r="134" spans="1:6" x14ac:dyDescent="0.25">
      <c r="A134" s="8">
        <v>45020</v>
      </c>
      <c r="B134" s="6">
        <f>A134-DATE(1970,1,1)</f>
        <v>19451</v>
      </c>
      <c r="C134" s="6">
        <v>28</v>
      </c>
      <c r="D134" s="6">
        <f>LN(C134)</f>
        <v>3.3322045101752038</v>
      </c>
      <c r="E134" s="6">
        <v>116.656349710795</v>
      </c>
      <c r="F134" s="6">
        <v>2</v>
      </c>
    </row>
    <row r="135" spans="1:6" x14ac:dyDescent="0.25">
      <c r="A135" s="8">
        <v>45028</v>
      </c>
      <c r="B135" s="6">
        <f>A135-DATE(1970,1,1)</f>
        <v>19459</v>
      </c>
      <c r="C135" s="6">
        <v>18</v>
      </c>
      <c r="D135" s="6">
        <f>LN(C135)</f>
        <v>2.8903717578961645</v>
      </c>
      <c r="E135" s="6">
        <v>116.986379546525</v>
      </c>
      <c r="F135" s="6">
        <v>2</v>
      </c>
    </row>
    <row r="136" spans="1:6" x14ac:dyDescent="0.25">
      <c r="A136" s="8">
        <v>45063</v>
      </c>
      <c r="B136" s="6">
        <f>A136-DATE(1970,1,1)</f>
        <v>19494</v>
      </c>
      <c r="C136" s="6">
        <v>22</v>
      </c>
      <c r="D136" s="6">
        <f>LN(C136)</f>
        <v>3.0910424533583161</v>
      </c>
      <c r="E136" s="6">
        <v>117.2778304065</v>
      </c>
      <c r="F136" s="6">
        <v>2</v>
      </c>
    </row>
    <row r="137" spans="1:6" x14ac:dyDescent="0.25">
      <c r="A137" s="8">
        <v>45084</v>
      </c>
      <c r="B137" s="6">
        <f>A137-DATE(1970,1,1)</f>
        <v>19515</v>
      </c>
      <c r="C137" s="6">
        <v>20</v>
      </c>
      <c r="D137" s="6">
        <f>LN(C137)</f>
        <v>2.9957322735539909</v>
      </c>
      <c r="E137" s="6">
        <v>116.986308867509</v>
      </c>
      <c r="F137" s="6">
        <v>2</v>
      </c>
    </row>
    <row r="138" spans="1:6" x14ac:dyDescent="0.25">
      <c r="A138" s="8">
        <v>45118</v>
      </c>
      <c r="B138" s="6">
        <f>A138-DATE(1970,1,1)</f>
        <v>19549</v>
      </c>
      <c r="C138" s="6">
        <v>19</v>
      </c>
      <c r="D138" s="6">
        <f>LN(C138)</f>
        <v>2.9444389791664403</v>
      </c>
      <c r="E138" s="6">
        <v>116.476411090312</v>
      </c>
      <c r="F138" s="6">
        <v>2</v>
      </c>
    </row>
    <row r="139" spans="1:6" x14ac:dyDescent="0.25">
      <c r="A139" s="8">
        <v>45140</v>
      </c>
      <c r="B139" s="6">
        <f>A139-DATE(1970,1,1)</f>
        <v>19571</v>
      </c>
      <c r="C139" s="6">
        <v>21</v>
      </c>
      <c r="D139" s="6">
        <f>LN(C139)</f>
        <v>3.044522437723423</v>
      </c>
      <c r="E139" s="6">
        <v>118.235229264014</v>
      </c>
      <c r="F139" s="6">
        <v>2</v>
      </c>
    </row>
    <row r="140" spans="1:6" x14ac:dyDescent="0.25">
      <c r="A140" s="8">
        <v>45182</v>
      </c>
      <c r="B140" s="6">
        <f>A140-DATE(1970,1,1)</f>
        <v>19613</v>
      </c>
      <c r="C140" s="6">
        <v>25</v>
      </c>
      <c r="D140" s="6">
        <f>LN(C140)</f>
        <v>3.2188758248682006</v>
      </c>
      <c r="E140" s="6">
        <v>116.46775387953799</v>
      </c>
      <c r="F140" s="6">
        <v>2</v>
      </c>
    </row>
    <row r="141" spans="1:6" x14ac:dyDescent="0.25">
      <c r="A141" s="8">
        <v>45223</v>
      </c>
      <c r="B141" s="6">
        <f>A141-DATE(1970,1,1)</f>
        <v>19654</v>
      </c>
      <c r="C141" s="6">
        <v>16.100000000000001</v>
      </c>
      <c r="D141" s="6">
        <f>LN(C141)</f>
        <v>2.7788192719904172</v>
      </c>
      <c r="E141" s="6">
        <v>116.219847575511</v>
      </c>
      <c r="F141" s="6">
        <v>2</v>
      </c>
    </row>
    <row r="142" spans="1:6" x14ac:dyDescent="0.25">
      <c r="A142" s="8">
        <v>45231</v>
      </c>
      <c r="B142" s="6">
        <f>A142-DATE(1970,1,1)</f>
        <v>19662</v>
      </c>
      <c r="C142" s="6">
        <v>26</v>
      </c>
      <c r="D142" s="6">
        <f>LN(C142)</f>
        <v>3.2580965380214821</v>
      </c>
      <c r="E142" s="6">
        <v>117.94518930686</v>
      </c>
      <c r="F142" s="6">
        <v>2</v>
      </c>
    </row>
    <row r="143" spans="1:6" x14ac:dyDescent="0.25">
      <c r="A143" s="8">
        <v>45280</v>
      </c>
      <c r="B143" s="6">
        <f>A143-DATE(1970,1,1)</f>
        <v>19711</v>
      </c>
      <c r="C143" s="6">
        <v>20</v>
      </c>
      <c r="D143" s="6">
        <f>LN(C143)</f>
        <v>2.9957322735539909</v>
      </c>
      <c r="E143" s="6">
        <v>116.356397189121</v>
      </c>
      <c r="F143" s="6">
        <v>2</v>
      </c>
    </row>
    <row r="144" spans="1:6" x14ac:dyDescent="0.25">
      <c r="A144" s="8">
        <v>45295</v>
      </c>
      <c r="B144" s="6">
        <f>A144-DATE(1970,1,1)</f>
        <v>19726</v>
      </c>
      <c r="C144" s="6">
        <v>22</v>
      </c>
      <c r="D144" s="6">
        <f>LN(C144)</f>
        <v>3.0910424533583161</v>
      </c>
      <c r="E144" s="6">
        <v>117.07027105605199</v>
      </c>
      <c r="F144" s="6">
        <v>2</v>
      </c>
    </row>
    <row r="145" spans="1:6" x14ac:dyDescent="0.25">
      <c r="A145" s="8">
        <v>45334</v>
      </c>
      <c r="B145" s="6">
        <f>A145-DATE(1970,1,1)</f>
        <v>19765</v>
      </c>
      <c r="C145" s="6">
        <v>18</v>
      </c>
      <c r="D145" s="6">
        <f>LN(C145)</f>
        <v>2.8903717578961645</v>
      </c>
      <c r="E145" s="6">
        <v>116.814875948718</v>
      </c>
      <c r="F145" s="6">
        <v>2</v>
      </c>
    </row>
    <row r="146" spans="1:6" x14ac:dyDescent="0.25">
      <c r="A146" s="8">
        <v>45357</v>
      </c>
      <c r="B146" s="6">
        <f>A146-DATE(1970,1,1)</f>
        <v>19788</v>
      </c>
      <c r="C146" s="6">
        <v>14</v>
      </c>
      <c r="D146" s="6">
        <f>LN(C146)</f>
        <v>2.6390573296152584</v>
      </c>
      <c r="E146" s="6">
        <v>116.17423669490699</v>
      </c>
      <c r="F146" s="6">
        <v>2</v>
      </c>
    </row>
    <row r="147" spans="1:6" x14ac:dyDescent="0.25">
      <c r="A147" s="8">
        <v>45385</v>
      </c>
      <c r="B147" s="6">
        <f>A147-DATE(1970,1,1)</f>
        <v>19816</v>
      </c>
      <c r="C147" s="6">
        <v>20</v>
      </c>
      <c r="D147" s="6">
        <f>LN(C147)</f>
        <v>2.9957322735539909</v>
      </c>
      <c r="E147" s="6">
        <v>116.264638581111</v>
      </c>
      <c r="F147" s="6">
        <v>2</v>
      </c>
    </row>
    <row r="148" spans="1:6" x14ac:dyDescent="0.25">
      <c r="A148" s="8">
        <v>45392</v>
      </c>
      <c r="B148" s="6">
        <f>A148-DATE(1970,1,1)</f>
        <v>19823</v>
      </c>
      <c r="C148" s="6">
        <v>16.7</v>
      </c>
      <c r="D148" s="6">
        <f>LN(C148)</f>
        <v>2.8154087194227095</v>
      </c>
      <c r="E148" s="6">
        <v>116.44589802126001</v>
      </c>
      <c r="F148" s="6">
        <v>2</v>
      </c>
    </row>
    <row r="149" spans="1:6" x14ac:dyDescent="0.25">
      <c r="A149" s="8">
        <v>45418</v>
      </c>
      <c r="B149" s="6">
        <f>A149-DATE(1970,1,1)</f>
        <v>19849</v>
      </c>
      <c r="C149" s="6">
        <v>20</v>
      </c>
      <c r="D149" s="6">
        <f>LN(C149)</f>
        <v>2.9957322735539909</v>
      </c>
      <c r="E149" s="6">
        <v>115.717652178067</v>
      </c>
      <c r="F149" s="6">
        <v>2</v>
      </c>
    </row>
    <row r="150" spans="1:6" x14ac:dyDescent="0.25">
      <c r="A150" s="8">
        <v>45460</v>
      </c>
      <c r="B150" s="6">
        <f>A150-DATE(1970,1,1)</f>
        <v>19891</v>
      </c>
      <c r="C150" s="6">
        <v>17</v>
      </c>
      <c r="D150" s="6">
        <f>LN(C150)</f>
        <v>2.8332133440562162</v>
      </c>
      <c r="E150" s="6">
        <v>116.501340008791</v>
      </c>
      <c r="F150" s="6">
        <v>2</v>
      </c>
    </row>
    <row r="151" spans="1:6" x14ac:dyDescent="0.25">
      <c r="A151" s="8">
        <v>45481</v>
      </c>
      <c r="B151" s="6">
        <f>A151-DATE(1970,1,1)</f>
        <v>19912</v>
      </c>
      <c r="C151" s="6">
        <v>21</v>
      </c>
      <c r="D151" s="6">
        <f>LN(C151)</f>
        <v>3.044522437723423</v>
      </c>
      <c r="E151" s="6">
        <v>116.403402156971</v>
      </c>
      <c r="F151" s="6">
        <v>2</v>
      </c>
    </row>
    <row r="152" spans="1:6" x14ac:dyDescent="0.25">
      <c r="A152" s="8">
        <v>45518</v>
      </c>
      <c r="B152" s="6">
        <f>A152-DATE(1970,1,1)</f>
        <v>19949</v>
      </c>
      <c r="C152" s="6">
        <v>14</v>
      </c>
      <c r="D152" s="6">
        <f>LN(C152)</f>
        <v>2.6390573296152584</v>
      </c>
      <c r="E152" s="6">
        <v>116.83734586362201</v>
      </c>
      <c r="F152" s="6">
        <v>2</v>
      </c>
    </row>
    <row r="153" spans="1:6" x14ac:dyDescent="0.25">
      <c r="A153" s="8">
        <v>45551</v>
      </c>
      <c r="B153" s="6">
        <f>A153-DATE(1970,1,1)</f>
        <v>19982</v>
      </c>
      <c r="C153" s="6">
        <v>20</v>
      </c>
      <c r="D153" s="6">
        <f>LN(C153)</f>
        <v>2.9957322735539909</v>
      </c>
      <c r="E153" s="6">
        <v>116.40285304502601</v>
      </c>
      <c r="F153" s="6">
        <v>2</v>
      </c>
    </row>
    <row r="154" spans="1:6" x14ac:dyDescent="0.25">
      <c r="A154" s="8">
        <v>45574</v>
      </c>
      <c r="B154" s="6">
        <f>A154-DATE(1970,1,1)</f>
        <v>20005</v>
      </c>
      <c r="C154" s="6">
        <v>44</v>
      </c>
      <c r="D154" s="6">
        <f>LN(C154)</f>
        <v>3.784189633918261</v>
      </c>
      <c r="E154" s="6">
        <v>116.82720008525</v>
      </c>
      <c r="F154" s="6">
        <v>2</v>
      </c>
    </row>
    <row r="155" spans="1:6" x14ac:dyDescent="0.25">
      <c r="A155" s="8">
        <v>45580</v>
      </c>
      <c r="B155" s="6">
        <f>A155-DATE(1970,1,1)</f>
        <v>20011</v>
      </c>
      <c r="C155" s="6">
        <v>15.8</v>
      </c>
      <c r="D155" s="6">
        <f>LN(C155)</f>
        <v>2.760009940032921</v>
      </c>
      <c r="E155" s="6">
        <v>116.01834948123999</v>
      </c>
      <c r="F155" s="6">
        <v>2</v>
      </c>
    </row>
    <row r="156" spans="1:6" x14ac:dyDescent="0.25">
      <c r="A156" s="8">
        <v>45600</v>
      </c>
      <c r="B156" s="6">
        <f>A156-DATE(1970,1,1)</f>
        <v>20031</v>
      </c>
      <c r="C156" s="6">
        <v>38</v>
      </c>
      <c r="D156" s="6">
        <f>LN(C156)</f>
        <v>3.6375861597263857</v>
      </c>
      <c r="E156" s="6">
        <v>117.941284734386</v>
      </c>
      <c r="F156" s="6">
        <v>2</v>
      </c>
    </row>
    <row r="157" spans="1:6" x14ac:dyDescent="0.25">
      <c r="A157" s="8">
        <v>45629</v>
      </c>
      <c r="B157" s="6">
        <f>A157-DATE(1970,1,1)</f>
        <v>20060</v>
      </c>
      <c r="C157" s="6">
        <v>19</v>
      </c>
      <c r="D157" s="6">
        <f>LN(C157)</f>
        <v>2.9444389791664403</v>
      </c>
      <c r="E157" s="6">
        <v>117.034318915791</v>
      </c>
      <c r="F157" s="6">
        <v>2</v>
      </c>
    </row>
  </sheetData>
  <sortState xmlns:xlrd2="http://schemas.microsoft.com/office/spreadsheetml/2017/richdata2" ref="A3:F157">
    <sortCondition ref="A3:A157"/>
  </sortState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A7C42-E6C4-4111-B079-D39941D85DB3}">
  <dimension ref="A1"/>
  <sheetViews>
    <sheetView tabSelected="1" workbookViewId="0">
      <selection activeCell="I3" sqref="I3:I4"/>
    </sheetView>
  </sheetViews>
  <sheetFormatPr defaultRowHeight="15" x14ac:dyDescent="0.25"/>
  <sheetData>
    <row r="1" spans="1:1" s="3" customFormat="1" ht="15.75" x14ac:dyDescent="0.25">
      <c r="A1" s="2" t="s">
        <v>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31C90-10A0-404B-8ACE-7D837146D995}">
  <dimension ref="A1"/>
  <sheetViews>
    <sheetView workbookViewId="0">
      <selection sqref="A1:XFD1048576"/>
    </sheetView>
  </sheetViews>
  <sheetFormatPr defaultRowHeight="15" x14ac:dyDescent="0.25"/>
  <cols>
    <col min="1" max="1" width="9.140625" style="1"/>
  </cols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01_event_only</vt:lpstr>
      <vt:lpstr>02_event_plus_river_stage</vt:lpstr>
      <vt:lpstr>02_event_plus_river_stage (2)</vt:lpstr>
      <vt:lpstr>03_censored_tobit_check</vt:lpstr>
      <vt:lpstr>summary_expected_values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 Bramer</dc:creator>
  <cp:lastModifiedBy>Stefan Bramer</cp:lastModifiedBy>
  <dcterms:created xsi:type="dcterms:W3CDTF">2026-06-19T12:09:46Z</dcterms:created>
  <dcterms:modified xsi:type="dcterms:W3CDTF">2026-06-19T14:06:54Z</dcterms:modified>
</cp:coreProperties>
</file>